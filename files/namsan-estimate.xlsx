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클로드코드\소장님 사이트\site\dist\files\"/>
    </mc:Choice>
  </mc:AlternateContent>
  <xr:revisionPtr revIDLastSave="0" documentId="13_ncr:1_{7377531A-0616-455F-B1A2-5764018DE2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세부내역" sheetId="24" r:id="rId1"/>
  </sheets>
  <definedNames>
    <definedName name="_xlnm.Print_Area" localSheetId="0">세부내역!$A$1:$P$167</definedName>
    <definedName name="_xlnm.Print_Titles" localSheetId="0">세부내역!$1:$2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" i="24" l="1"/>
  <c r="G161" i="24" l="1"/>
  <c r="I161" i="24"/>
  <c r="K161" i="24"/>
  <c r="K167" i="24" s="1"/>
  <c r="M161" i="24"/>
  <c r="N161" i="24"/>
  <c r="G162" i="24"/>
  <c r="I162" i="24"/>
  <c r="O162" i="24" s="1"/>
  <c r="K162" i="24"/>
  <c r="M162" i="24"/>
  <c r="N162" i="24"/>
  <c r="G163" i="24"/>
  <c r="I163" i="24"/>
  <c r="K163" i="24"/>
  <c r="M163" i="24"/>
  <c r="N163" i="24"/>
  <c r="G164" i="24"/>
  <c r="I164" i="24"/>
  <c r="O164" i="24" s="1"/>
  <c r="K164" i="24"/>
  <c r="M164" i="24"/>
  <c r="N164" i="24"/>
  <c r="G165" i="24"/>
  <c r="I165" i="24"/>
  <c r="O165" i="24" s="1"/>
  <c r="K165" i="24"/>
  <c r="M165" i="24"/>
  <c r="N165" i="24"/>
  <c r="I167" i="24"/>
  <c r="R167" i="24"/>
  <c r="G167" i="24" l="1"/>
  <c r="M167" i="24"/>
  <c r="O161" i="24"/>
  <c r="O163" i="24"/>
  <c r="O167" i="24" s="1"/>
  <c r="N147" i="24"/>
  <c r="M147" i="24"/>
  <c r="K147" i="24"/>
  <c r="I147" i="24"/>
  <c r="G147" i="24"/>
  <c r="N146" i="24"/>
  <c r="M146" i="24"/>
  <c r="K146" i="24"/>
  <c r="I146" i="24"/>
  <c r="G146" i="24"/>
  <c r="N112" i="24"/>
  <c r="M112" i="24"/>
  <c r="K112" i="24"/>
  <c r="I112" i="24"/>
  <c r="G112" i="24"/>
  <c r="I81" i="24"/>
  <c r="I82" i="24"/>
  <c r="I83" i="24"/>
  <c r="G45" i="24"/>
  <c r="I45" i="24"/>
  <c r="K45" i="24"/>
  <c r="M45" i="24"/>
  <c r="N45" i="24"/>
  <c r="G46" i="24"/>
  <c r="I46" i="24"/>
  <c r="K46" i="24"/>
  <c r="M46" i="24"/>
  <c r="N46" i="24"/>
  <c r="G47" i="24"/>
  <c r="I47" i="24"/>
  <c r="K47" i="24"/>
  <c r="M47" i="24"/>
  <c r="N47" i="24"/>
  <c r="G48" i="24"/>
  <c r="I48" i="24"/>
  <c r="K48" i="24"/>
  <c r="M48" i="24"/>
  <c r="N48" i="24"/>
  <c r="G49" i="24"/>
  <c r="I49" i="24"/>
  <c r="K49" i="24"/>
  <c r="M49" i="24"/>
  <c r="N49" i="24"/>
  <c r="G50" i="24"/>
  <c r="I50" i="24"/>
  <c r="K50" i="24"/>
  <c r="M50" i="24"/>
  <c r="N50" i="24"/>
  <c r="G51" i="24"/>
  <c r="I51" i="24"/>
  <c r="K51" i="24"/>
  <c r="M51" i="24"/>
  <c r="N51" i="24"/>
  <c r="N44" i="24"/>
  <c r="M44" i="24"/>
  <c r="K44" i="24"/>
  <c r="I44" i="24"/>
  <c r="G44" i="24"/>
  <c r="N43" i="24"/>
  <c r="M43" i="24"/>
  <c r="K43" i="24"/>
  <c r="I43" i="24"/>
  <c r="G43" i="24"/>
  <c r="N42" i="24"/>
  <c r="M42" i="24"/>
  <c r="K42" i="24"/>
  <c r="I42" i="24"/>
  <c r="G42" i="24"/>
  <c r="N13" i="24"/>
  <c r="M13" i="24"/>
  <c r="K13" i="24"/>
  <c r="I13" i="24"/>
  <c r="G13" i="24"/>
  <c r="O51" i="24" l="1"/>
  <c r="O147" i="24"/>
  <c r="O146" i="24"/>
  <c r="O112" i="24"/>
  <c r="O47" i="24"/>
  <c r="O44" i="24"/>
  <c r="O42" i="24"/>
  <c r="O49" i="24"/>
  <c r="O50" i="24"/>
  <c r="O48" i="24"/>
  <c r="O46" i="24"/>
  <c r="O45" i="24"/>
  <c r="O43" i="24"/>
  <c r="O13" i="24"/>
  <c r="N35" i="24" l="1"/>
  <c r="M35" i="24"/>
  <c r="K35" i="24"/>
  <c r="I35" i="24"/>
  <c r="G35" i="24"/>
  <c r="N34" i="24"/>
  <c r="M34" i="24"/>
  <c r="K34" i="24"/>
  <c r="I34" i="24"/>
  <c r="G34" i="24"/>
  <c r="N33" i="24"/>
  <c r="M33" i="24"/>
  <c r="K33" i="24"/>
  <c r="I33" i="24"/>
  <c r="G33" i="24"/>
  <c r="N32" i="24"/>
  <c r="M32" i="24"/>
  <c r="K32" i="24"/>
  <c r="I32" i="24"/>
  <c r="G32" i="24"/>
  <c r="N36" i="24"/>
  <c r="M36" i="24"/>
  <c r="K36" i="24"/>
  <c r="I36" i="24"/>
  <c r="G36" i="24"/>
  <c r="I38" i="24" l="1"/>
  <c r="G38" i="24"/>
  <c r="K38" i="24"/>
  <c r="M38" i="24"/>
  <c r="O35" i="24"/>
  <c r="O34" i="24"/>
  <c r="O33" i="24"/>
  <c r="O32" i="24"/>
  <c r="O36" i="24"/>
  <c r="O38" i="24" l="1"/>
  <c r="N26" i="24"/>
  <c r="M26" i="24"/>
  <c r="K26" i="24"/>
  <c r="I26" i="24"/>
  <c r="G26" i="24"/>
  <c r="K24" i="24"/>
  <c r="K25" i="24"/>
  <c r="K27" i="24"/>
  <c r="N25" i="24"/>
  <c r="M25" i="24"/>
  <c r="I25" i="24"/>
  <c r="G25" i="24"/>
  <c r="N21" i="24"/>
  <c r="M21" i="24"/>
  <c r="K21" i="24"/>
  <c r="I21" i="24"/>
  <c r="G21" i="24"/>
  <c r="O21" i="24" l="1"/>
  <c r="O25" i="24"/>
  <c r="O26" i="24"/>
  <c r="N154" i="24"/>
  <c r="M154" i="24"/>
  <c r="K154" i="24"/>
  <c r="I154" i="24"/>
  <c r="G154" i="24"/>
  <c r="N101" i="24"/>
  <c r="M101" i="24"/>
  <c r="K101" i="24"/>
  <c r="I101" i="24"/>
  <c r="G101" i="24"/>
  <c r="O154" i="24" l="1"/>
  <c r="O101" i="24"/>
  <c r="N93" i="24"/>
  <c r="M93" i="24"/>
  <c r="K93" i="24"/>
  <c r="I93" i="24"/>
  <c r="N83" i="24" l="1"/>
  <c r="M83" i="24"/>
  <c r="K83" i="24"/>
  <c r="G83" i="24"/>
  <c r="N82" i="24"/>
  <c r="M82" i="24"/>
  <c r="K82" i="24"/>
  <c r="G82" i="24"/>
  <c r="N81" i="24"/>
  <c r="M81" i="24"/>
  <c r="K81" i="24"/>
  <c r="G81" i="24"/>
  <c r="N67" i="24"/>
  <c r="M67" i="24"/>
  <c r="K67" i="24"/>
  <c r="I67" i="24"/>
  <c r="G67" i="24"/>
  <c r="N65" i="24"/>
  <c r="M65" i="24"/>
  <c r="K65" i="24"/>
  <c r="I65" i="24"/>
  <c r="G65" i="24"/>
  <c r="N63" i="24"/>
  <c r="M63" i="24"/>
  <c r="K63" i="24"/>
  <c r="I63" i="24"/>
  <c r="G63" i="24"/>
  <c r="G93" i="24"/>
  <c r="O93" i="24" s="1"/>
  <c r="O83" i="24" l="1"/>
  <c r="O81" i="24"/>
  <c r="O82" i="24"/>
  <c r="O67" i="24"/>
  <c r="O65" i="24"/>
  <c r="O63" i="24"/>
  <c r="N66" i="24"/>
  <c r="M66" i="24"/>
  <c r="K66" i="24"/>
  <c r="I66" i="24"/>
  <c r="G66" i="24"/>
  <c r="O66" i="24" l="1"/>
  <c r="N111" i="24"/>
  <c r="M111" i="24"/>
  <c r="K111" i="24"/>
  <c r="I111" i="24"/>
  <c r="G111" i="24"/>
  <c r="N110" i="24"/>
  <c r="M110" i="24"/>
  <c r="K110" i="24"/>
  <c r="I110" i="24"/>
  <c r="G110" i="24"/>
  <c r="N127" i="24"/>
  <c r="M127" i="24"/>
  <c r="K127" i="24"/>
  <c r="I127" i="24"/>
  <c r="G127" i="24"/>
  <c r="N126" i="24"/>
  <c r="M126" i="24"/>
  <c r="K126" i="24"/>
  <c r="I126" i="24"/>
  <c r="G126" i="24"/>
  <c r="N125" i="24"/>
  <c r="M125" i="24"/>
  <c r="K125" i="24"/>
  <c r="I125" i="24"/>
  <c r="G125" i="24"/>
  <c r="N124" i="24"/>
  <c r="M124" i="24"/>
  <c r="K124" i="24"/>
  <c r="I124" i="24"/>
  <c r="G124" i="24"/>
  <c r="G100" i="24"/>
  <c r="I100" i="24"/>
  <c r="K100" i="24"/>
  <c r="M100" i="24"/>
  <c r="N100" i="24"/>
  <c r="N99" i="24"/>
  <c r="M99" i="24"/>
  <c r="K99" i="24"/>
  <c r="I99" i="24"/>
  <c r="G99" i="24"/>
  <c r="N64" i="24"/>
  <c r="M64" i="24"/>
  <c r="K64" i="24"/>
  <c r="I64" i="24"/>
  <c r="G64" i="24"/>
  <c r="N62" i="24"/>
  <c r="M62" i="24"/>
  <c r="K62" i="24"/>
  <c r="I62" i="24"/>
  <c r="G62" i="24"/>
  <c r="N61" i="24"/>
  <c r="M61" i="24"/>
  <c r="K61" i="24"/>
  <c r="I61" i="24"/>
  <c r="G61" i="24"/>
  <c r="N8" i="24"/>
  <c r="M8" i="24"/>
  <c r="K8" i="24"/>
  <c r="I8" i="24"/>
  <c r="G8" i="24"/>
  <c r="G139" i="24"/>
  <c r="I139" i="24"/>
  <c r="K139" i="24"/>
  <c r="M139" i="24"/>
  <c r="N139" i="24"/>
  <c r="N107" i="24"/>
  <c r="M107" i="24"/>
  <c r="K107" i="24"/>
  <c r="I107" i="24"/>
  <c r="G107" i="24"/>
  <c r="N58" i="24"/>
  <c r="M58" i="24"/>
  <c r="K58" i="24"/>
  <c r="I58" i="24"/>
  <c r="G58" i="24"/>
  <c r="N155" i="24"/>
  <c r="M155" i="24"/>
  <c r="K155" i="24"/>
  <c r="I155" i="24"/>
  <c r="G155" i="24"/>
  <c r="M130" i="24" l="1"/>
  <c r="O110" i="24"/>
  <c r="O126" i="24"/>
  <c r="O111" i="24"/>
  <c r="O127" i="24"/>
  <c r="O100" i="24"/>
  <c r="O125" i="24"/>
  <c r="K130" i="24"/>
  <c r="G130" i="24"/>
  <c r="O124" i="24"/>
  <c r="I130" i="24"/>
  <c r="O99" i="24"/>
  <c r="O64" i="24"/>
  <c r="O62" i="24"/>
  <c r="O61" i="24"/>
  <c r="O8" i="24"/>
  <c r="O139" i="24"/>
  <c r="O107" i="24"/>
  <c r="O58" i="24"/>
  <c r="O155" i="24"/>
  <c r="O130" i="24" l="1"/>
  <c r="N138" i="24"/>
  <c r="M138" i="24"/>
  <c r="K138" i="24"/>
  <c r="I138" i="24"/>
  <c r="G138" i="24"/>
  <c r="N137" i="24"/>
  <c r="M137" i="24"/>
  <c r="K137" i="24"/>
  <c r="I137" i="24"/>
  <c r="G137" i="24"/>
  <c r="N136" i="24"/>
  <c r="M136" i="24"/>
  <c r="K136" i="24"/>
  <c r="I136" i="24"/>
  <c r="G136" i="24"/>
  <c r="N108" i="24"/>
  <c r="M108" i="24"/>
  <c r="K108" i="24"/>
  <c r="I108" i="24"/>
  <c r="G108" i="24"/>
  <c r="N106" i="24"/>
  <c r="M106" i="24"/>
  <c r="K106" i="24"/>
  <c r="I106" i="24"/>
  <c r="G106" i="24"/>
  <c r="N109" i="24"/>
  <c r="M109" i="24"/>
  <c r="K109" i="24"/>
  <c r="I109" i="24"/>
  <c r="G109" i="24"/>
  <c r="K115" i="24" l="1"/>
  <c r="O138" i="24"/>
  <c r="G115" i="24"/>
  <c r="I115" i="24"/>
  <c r="M115" i="24"/>
  <c r="O137" i="24"/>
  <c r="O136" i="24"/>
  <c r="O108" i="24"/>
  <c r="O109" i="24"/>
  <c r="O106" i="24"/>
  <c r="N92" i="24"/>
  <c r="M92" i="24"/>
  <c r="K92" i="24"/>
  <c r="I92" i="24"/>
  <c r="G92" i="24"/>
  <c r="N91" i="24"/>
  <c r="M91" i="24"/>
  <c r="K91" i="24"/>
  <c r="I91" i="24"/>
  <c r="G91" i="24"/>
  <c r="O115" i="24" l="1"/>
  <c r="O91" i="24"/>
  <c r="O92" i="24"/>
  <c r="N145" i="24" l="1"/>
  <c r="M145" i="24"/>
  <c r="K145" i="24"/>
  <c r="I145" i="24"/>
  <c r="G145" i="24"/>
  <c r="N140" i="24"/>
  <c r="M140" i="24"/>
  <c r="K140" i="24"/>
  <c r="I140" i="24"/>
  <c r="G140" i="24"/>
  <c r="O145" i="24" l="1"/>
  <c r="O140" i="24"/>
  <c r="N143" i="24" l="1"/>
  <c r="M143" i="24"/>
  <c r="K143" i="24"/>
  <c r="I143" i="24"/>
  <c r="G143" i="24"/>
  <c r="N134" i="24"/>
  <c r="M134" i="24"/>
  <c r="K134" i="24"/>
  <c r="I134" i="24"/>
  <c r="G134" i="24"/>
  <c r="O143" i="24" l="1"/>
  <c r="O134" i="24"/>
  <c r="N118" i="24" l="1"/>
  <c r="M118" i="24"/>
  <c r="K118" i="24"/>
  <c r="I118" i="24"/>
  <c r="G118" i="24"/>
  <c r="N75" i="24"/>
  <c r="M75" i="24"/>
  <c r="K75" i="24"/>
  <c r="I75" i="24"/>
  <c r="G75" i="24"/>
  <c r="N74" i="24"/>
  <c r="M74" i="24"/>
  <c r="K74" i="24"/>
  <c r="I74" i="24"/>
  <c r="G74" i="24"/>
  <c r="N60" i="24"/>
  <c r="M60" i="24"/>
  <c r="K60" i="24"/>
  <c r="I60" i="24"/>
  <c r="G60" i="24"/>
  <c r="N59" i="24"/>
  <c r="M59" i="24"/>
  <c r="K59" i="24"/>
  <c r="I59" i="24"/>
  <c r="G59" i="24"/>
  <c r="O118" i="24" l="1"/>
  <c r="O121" i="24" s="1"/>
  <c r="O75" i="24"/>
  <c r="O74" i="24"/>
  <c r="O60" i="24"/>
  <c r="O59" i="24"/>
  <c r="N144" i="24" l="1"/>
  <c r="M144" i="24"/>
  <c r="K144" i="24"/>
  <c r="I144" i="24"/>
  <c r="G144" i="24"/>
  <c r="N90" i="24"/>
  <c r="M90" i="24"/>
  <c r="K90" i="24"/>
  <c r="I90" i="24"/>
  <c r="G90" i="24"/>
  <c r="N77" i="24"/>
  <c r="M77" i="24"/>
  <c r="K77" i="24"/>
  <c r="I77" i="24"/>
  <c r="G77" i="24"/>
  <c r="O144" i="24" l="1"/>
  <c r="O90" i="24"/>
  <c r="O77" i="24"/>
  <c r="N142" i="24" l="1"/>
  <c r="M142" i="24"/>
  <c r="K142" i="24"/>
  <c r="I142" i="24"/>
  <c r="G142" i="24"/>
  <c r="O142" i="24" l="1"/>
  <c r="N80" i="24" l="1"/>
  <c r="M80" i="24"/>
  <c r="K80" i="24"/>
  <c r="I80" i="24"/>
  <c r="G80" i="24"/>
  <c r="N79" i="24"/>
  <c r="M79" i="24"/>
  <c r="K79" i="24"/>
  <c r="I79" i="24"/>
  <c r="G79" i="24"/>
  <c r="O80" i="24" l="1"/>
  <c r="O79" i="24"/>
  <c r="N153" i="24" l="1"/>
  <c r="M153" i="24"/>
  <c r="K153" i="24"/>
  <c r="I153" i="24"/>
  <c r="G153" i="24"/>
  <c r="N141" i="24"/>
  <c r="M141" i="24"/>
  <c r="K141" i="24"/>
  <c r="I141" i="24"/>
  <c r="G141" i="24"/>
  <c r="N135" i="24"/>
  <c r="M135" i="24"/>
  <c r="K135" i="24"/>
  <c r="I135" i="24"/>
  <c r="G135" i="24"/>
  <c r="N133" i="24"/>
  <c r="M133" i="24"/>
  <c r="K133" i="24"/>
  <c r="I133" i="24"/>
  <c r="G133" i="24"/>
  <c r="N88" i="24"/>
  <c r="M88" i="24"/>
  <c r="K88" i="24"/>
  <c r="I88" i="24"/>
  <c r="G88" i="24"/>
  <c r="O141" i="24" l="1"/>
  <c r="O153" i="24"/>
  <c r="O135" i="24"/>
  <c r="O133" i="24"/>
  <c r="O150" i="24" s="1"/>
  <c r="O88" i="24"/>
  <c r="N89" i="24" l="1"/>
  <c r="M89" i="24"/>
  <c r="K89" i="24"/>
  <c r="I89" i="24"/>
  <c r="G89" i="24"/>
  <c r="N73" i="24"/>
  <c r="M73" i="24"/>
  <c r="K73" i="24"/>
  <c r="I73" i="24"/>
  <c r="G73" i="24"/>
  <c r="O89" i="24" l="1"/>
  <c r="O73" i="24"/>
  <c r="N57" i="24" l="1"/>
  <c r="M57" i="24"/>
  <c r="K57" i="24"/>
  <c r="I57" i="24"/>
  <c r="G57" i="24"/>
  <c r="G70" i="24" s="1"/>
  <c r="N27" i="24"/>
  <c r="M27" i="24"/>
  <c r="I27" i="24"/>
  <c r="G27" i="24"/>
  <c r="N24" i="24"/>
  <c r="M24" i="24"/>
  <c r="I24" i="24"/>
  <c r="G24" i="24"/>
  <c r="N23" i="24"/>
  <c r="M23" i="24"/>
  <c r="K23" i="24"/>
  <c r="I23" i="24"/>
  <c r="G23" i="24"/>
  <c r="N22" i="24"/>
  <c r="M22" i="24"/>
  <c r="K22" i="24"/>
  <c r="I22" i="24"/>
  <c r="G22" i="24"/>
  <c r="N20" i="24"/>
  <c r="M20" i="24"/>
  <c r="K20" i="24"/>
  <c r="I20" i="24"/>
  <c r="G20" i="24"/>
  <c r="N9" i="24"/>
  <c r="M9" i="24"/>
  <c r="K9" i="24"/>
  <c r="I9" i="24"/>
  <c r="G9" i="24"/>
  <c r="N7" i="24"/>
  <c r="M7" i="24"/>
  <c r="K7" i="24"/>
  <c r="I7" i="24"/>
  <c r="G7" i="24"/>
  <c r="N6" i="24"/>
  <c r="M6" i="24"/>
  <c r="K6" i="24"/>
  <c r="I6" i="24"/>
  <c r="G6" i="24"/>
  <c r="N5" i="24"/>
  <c r="M5" i="24"/>
  <c r="K5" i="24"/>
  <c r="I5" i="24"/>
  <c r="G5" i="24"/>
  <c r="N4" i="24"/>
  <c r="M4" i="24"/>
  <c r="K4" i="24"/>
  <c r="I4" i="24"/>
  <c r="G4" i="24"/>
  <c r="I29" i="24" l="1"/>
  <c r="K29" i="24"/>
  <c r="M29" i="24"/>
  <c r="O57" i="24"/>
  <c r="O70" i="24" s="1"/>
  <c r="O20" i="24"/>
  <c r="O5" i="24"/>
  <c r="O24" i="24"/>
  <c r="O22" i="24"/>
  <c r="O7" i="24"/>
  <c r="O23" i="24"/>
  <c r="O27" i="24"/>
  <c r="O9" i="24"/>
  <c r="O4" i="24"/>
  <c r="O6" i="24"/>
  <c r="O10" i="24" l="1"/>
  <c r="O29" i="24"/>
  <c r="K158" i="24"/>
  <c r="M158" i="24"/>
  <c r="I158" i="24"/>
  <c r="G158" i="24"/>
  <c r="O158" i="24" l="1"/>
  <c r="M150" i="24" l="1"/>
  <c r="G150" i="24" l="1"/>
  <c r="I150" i="24"/>
  <c r="K150" i="24"/>
  <c r="G29" i="24" l="1"/>
  <c r="M103" i="24" l="1"/>
  <c r="K103" i="24"/>
  <c r="I103" i="24"/>
  <c r="G103" i="24"/>
  <c r="O103" i="24" l="1"/>
  <c r="N78" i="24" l="1"/>
  <c r="M78" i="24"/>
  <c r="K78" i="24"/>
  <c r="I78" i="24"/>
  <c r="G78" i="24"/>
  <c r="N76" i="24"/>
  <c r="M76" i="24"/>
  <c r="K76" i="24"/>
  <c r="I76" i="24"/>
  <c r="G76" i="24"/>
  <c r="O78" i="24" l="1"/>
  <c r="O76" i="24"/>
  <c r="N41" i="24" l="1"/>
  <c r="M41" i="24"/>
  <c r="K41" i="24"/>
  <c r="I41" i="24"/>
  <c r="G41" i="24"/>
  <c r="O41" i="24" l="1"/>
  <c r="O54" i="24" s="1"/>
  <c r="M121" i="24" l="1"/>
  <c r="G121" i="24"/>
  <c r="I121" i="24"/>
  <c r="K121" i="24"/>
  <c r="K54" i="24" l="1"/>
  <c r="I54" i="24"/>
  <c r="G54" i="24"/>
  <c r="M54" i="24"/>
  <c r="M10" i="24" l="1"/>
  <c r="G10" i="24"/>
  <c r="K10" i="24"/>
  <c r="I10" i="24"/>
  <c r="M96" i="24" l="1"/>
  <c r="K96" i="24"/>
  <c r="I96" i="24"/>
  <c r="G96" i="24"/>
  <c r="O96" i="24" l="1"/>
  <c r="I85" i="24" l="1"/>
  <c r="K85" i="24" l="1"/>
  <c r="M85" i="24"/>
  <c r="G85" i="24"/>
  <c r="O85" i="24" l="1"/>
  <c r="M70" i="24" l="1"/>
  <c r="K70" i="24"/>
  <c r="I70" i="24"/>
  <c r="N14" i="24"/>
  <c r="M14" i="24"/>
  <c r="K14" i="24"/>
  <c r="I14" i="24"/>
  <c r="G14" i="24"/>
  <c r="G17" i="24" l="1"/>
  <c r="I17" i="24"/>
  <c r="K17" i="24"/>
  <c r="M17" i="24"/>
  <c r="O14" i="24"/>
  <c r="O17" i="24" l="1"/>
</calcChain>
</file>

<file path=xl/sharedStrings.xml><?xml version="1.0" encoding="utf-8"?>
<sst xmlns="http://schemas.openxmlformats.org/spreadsheetml/2006/main" count="342" uniqueCount="201">
  <si>
    <t>NO</t>
    <phoneticPr fontId="3" type="noConversion"/>
  </si>
  <si>
    <t>항     목</t>
    <phoneticPr fontId="3" type="noConversion"/>
  </si>
  <si>
    <t>세부내역</t>
    <phoneticPr fontId="3" type="noConversion"/>
  </si>
  <si>
    <t>수 량</t>
    <phoneticPr fontId="3" type="noConversion"/>
  </si>
  <si>
    <t>단 위</t>
    <phoneticPr fontId="3" type="noConversion"/>
  </si>
  <si>
    <t>단    가</t>
    <phoneticPr fontId="3" type="noConversion"/>
  </si>
  <si>
    <t xml:space="preserve">금    액 </t>
    <phoneticPr fontId="3" type="noConversion"/>
  </si>
  <si>
    <t>비  고</t>
    <phoneticPr fontId="3" type="noConversion"/>
  </si>
  <si>
    <t>소      계</t>
    <phoneticPr fontId="3" type="noConversion"/>
  </si>
  <si>
    <t>-</t>
    <phoneticPr fontId="2" type="noConversion"/>
  </si>
  <si>
    <t>식</t>
    <phoneticPr fontId="2" type="noConversion"/>
  </si>
  <si>
    <t>EA</t>
    <phoneticPr fontId="3" type="noConversion"/>
  </si>
  <si>
    <t>준공청소</t>
    <phoneticPr fontId="2" type="noConversion"/>
  </si>
  <si>
    <t>EA</t>
    <phoneticPr fontId="2" type="noConversion"/>
  </si>
  <si>
    <t>m2</t>
    <phoneticPr fontId="2" type="noConversion"/>
  </si>
  <si>
    <t>현장보양 및 정리정돈</t>
    <phoneticPr fontId="2" type="noConversion"/>
  </si>
  <si>
    <t>가설 공사</t>
    <phoneticPr fontId="3" type="noConversion"/>
  </si>
  <si>
    <t>노 무 비</t>
    <phoneticPr fontId="3" type="noConversion"/>
  </si>
  <si>
    <t>자 재 비</t>
    <phoneticPr fontId="3" type="noConversion"/>
  </si>
  <si>
    <t>합 계</t>
    <phoneticPr fontId="3" type="noConversion"/>
  </si>
  <si>
    <t>간 접 경 비</t>
    <phoneticPr fontId="3" type="noConversion"/>
  </si>
  <si>
    <t>목공 공사</t>
    <phoneticPr fontId="3" type="noConversion"/>
  </si>
  <si>
    <t>도장 공사</t>
    <phoneticPr fontId="3" type="noConversion"/>
  </si>
  <si>
    <t>전기 공사</t>
    <phoneticPr fontId="3" type="noConversion"/>
  </si>
  <si>
    <t>견 적 시 공</t>
    <phoneticPr fontId="3" type="noConversion"/>
  </si>
  <si>
    <t>m2</t>
    <phoneticPr fontId="3" type="noConversion"/>
  </si>
  <si>
    <t>조 명</t>
    <phoneticPr fontId="3" type="noConversion"/>
  </si>
  <si>
    <t xml:space="preserve"> </t>
    <phoneticPr fontId="2" type="noConversion"/>
  </si>
  <si>
    <t>기타시공</t>
    <phoneticPr fontId="3" type="noConversion"/>
  </si>
  <si>
    <t>철물/부속</t>
    <phoneticPr fontId="2" type="noConversion"/>
  </si>
  <si>
    <t>분전함</t>
    <phoneticPr fontId="2" type="noConversion"/>
  </si>
  <si>
    <t>창호/금속 공사</t>
    <phoneticPr fontId="3" type="noConversion"/>
  </si>
  <si>
    <t>내선 시공</t>
    <phoneticPr fontId="2" type="noConversion"/>
  </si>
  <si>
    <t>타일 공사</t>
    <phoneticPr fontId="3" type="noConversion"/>
  </si>
  <si>
    <t>대운반</t>
    <phoneticPr fontId="2" type="noConversion"/>
  </si>
  <si>
    <t>소운반</t>
    <phoneticPr fontId="2" type="noConversion"/>
  </si>
  <si>
    <t>공사 현수막</t>
    <phoneticPr fontId="2" type="noConversion"/>
  </si>
  <si>
    <t>상하수 공사</t>
    <phoneticPr fontId="3" type="noConversion"/>
  </si>
  <si>
    <t>조적/미장 공사</t>
    <phoneticPr fontId="3" type="noConversion"/>
  </si>
  <si>
    <t>먹메김</t>
    <phoneticPr fontId="2" type="noConversion"/>
  </si>
  <si>
    <t>손잡이, 경첩, 오도시 등</t>
    <phoneticPr fontId="2" type="noConversion"/>
  </si>
  <si>
    <t>주방</t>
    <phoneticPr fontId="2" type="noConversion"/>
  </si>
  <si>
    <t>홀</t>
    <phoneticPr fontId="2" type="noConversion"/>
  </si>
  <si>
    <t>트랜치</t>
    <phoneticPr fontId="2" type="noConversion"/>
  </si>
  <si>
    <t>그리스트랩</t>
    <phoneticPr fontId="2" type="noConversion"/>
  </si>
  <si>
    <t>400*400*200</t>
    <phoneticPr fontId="2" type="noConversion"/>
  </si>
  <si>
    <t>붙박이의자 쿠션공사</t>
    <phoneticPr fontId="2" type="noConversion"/>
  </si>
  <si>
    <t>1층</t>
    <phoneticPr fontId="2" type="noConversion"/>
  </si>
  <si>
    <t xml:space="preserve">온수기 설치 별도 </t>
    <phoneticPr fontId="2" type="noConversion"/>
  </si>
  <si>
    <t>L1000</t>
    <phoneticPr fontId="2" type="noConversion"/>
  </si>
  <si>
    <t>상하수배관공</t>
    <phoneticPr fontId="2" type="noConversion"/>
  </si>
  <si>
    <t>주방 바닥 배딩</t>
    <phoneticPr fontId="2" type="noConversion"/>
  </si>
  <si>
    <t>붙박이 의자 좌판</t>
    <phoneticPr fontId="2" type="noConversion"/>
  </si>
  <si>
    <t>인테리어 필름 공사</t>
    <phoneticPr fontId="3" type="noConversion"/>
  </si>
  <si>
    <t xml:space="preserve">홀/앞주방 바닥 </t>
    <phoneticPr fontId="2" type="noConversion"/>
  </si>
  <si>
    <t>주방 바닥</t>
    <phoneticPr fontId="2" type="noConversion"/>
  </si>
  <si>
    <t>주방 벽</t>
    <phoneticPr fontId="2" type="noConversion"/>
  </si>
  <si>
    <t>190*190 / 석재타일</t>
    <phoneticPr fontId="2" type="noConversion"/>
  </si>
  <si>
    <t>300*600</t>
    <phoneticPr fontId="2" type="noConversion"/>
  </si>
  <si>
    <t>홀/앞주방 바닥 자재</t>
    <phoneticPr fontId="2" type="noConversion"/>
  </si>
  <si>
    <t>주방 바닥 타일 자재</t>
    <phoneticPr fontId="2" type="noConversion"/>
  </si>
  <si>
    <t>주방 벽 타일 자재</t>
    <phoneticPr fontId="2" type="noConversion"/>
  </si>
  <si>
    <t>제작가구</t>
    <phoneticPr fontId="2" type="noConversion"/>
  </si>
  <si>
    <t>주방 입구 커튼</t>
    <phoneticPr fontId="2" type="noConversion"/>
  </si>
  <si>
    <t>프랜트박스 자갈 20kg</t>
    <phoneticPr fontId="2" type="noConversion"/>
  </si>
  <si>
    <t xml:space="preserve">실비 </t>
    <phoneticPr fontId="2" type="noConversion"/>
  </si>
  <si>
    <t>기타 꾸밈</t>
    <phoneticPr fontId="2" type="noConversion"/>
  </si>
  <si>
    <t>실비</t>
    <phoneticPr fontId="2" type="noConversion"/>
  </si>
  <si>
    <t>조경용 스티로폼</t>
    <phoneticPr fontId="2" type="noConversion"/>
  </si>
  <si>
    <t>3*6 사이즈</t>
    <phoneticPr fontId="2" type="noConversion"/>
  </si>
  <si>
    <t>우드 블라인드</t>
    <phoneticPr fontId="2" type="noConversion"/>
  </si>
  <si>
    <t>외부 벤치의자</t>
    <phoneticPr fontId="2" type="noConversion"/>
  </si>
  <si>
    <t>W1200</t>
    <phoneticPr fontId="2" type="noConversion"/>
  </si>
  <si>
    <t>폐기물 처리</t>
    <phoneticPr fontId="2" type="noConversion"/>
  </si>
  <si>
    <t>회</t>
    <phoneticPr fontId="2" type="noConversion"/>
  </si>
  <si>
    <t xml:space="preserve">조화 대나무 </t>
    <phoneticPr fontId="2" type="noConversion"/>
  </si>
  <si>
    <t>기존사용</t>
    <phoneticPr fontId="2" type="noConversion"/>
  </si>
  <si>
    <t xml:space="preserve">인터넷 구매 </t>
    <phoneticPr fontId="2" type="noConversion"/>
  </si>
  <si>
    <t>10000 * 2240 * 12T</t>
    <phoneticPr fontId="2" type="noConversion"/>
  </si>
  <si>
    <t>픽스창 유리</t>
    <phoneticPr fontId="2" type="noConversion"/>
  </si>
  <si>
    <t>530 / 595 * 2240 * 12T</t>
    <phoneticPr fontId="2" type="noConversion"/>
  </si>
  <si>
    <t xml:space="preserve">야끼부스 유리 </t>
    <phoneticPr fontId="2" type="noConversion"/>
  </si>
  <si>
    <t>방화유리 1500 * 850 * 8T</t>
    <phoneticPr fontId="2" type="noConversion"/>
  </si>
  <si>
    <t xml:space="preserve">냉난방기 실외기 하우징 </t>
    <phoneticPr fontId="2" type="noConversion"/>
  </si>
  <si>
    <t>실내 마감 코킹</t>
    <phoneticPr fontId="2" type="noConversion"/>
  </si>
  <si>
    <t xml:space="preserve">공사 가림막 </t>
    <phoneticPr fontId="2" type="noConversion"/>
  </si>
  <si>
    <t>주방/앞주방 벽</t>
  </si>
  <si>
    <t>천정</t>
  </si>
  <si>
    <t>벽</t>
  </si>
  <si>
    <t xml:space="preserve">포인트월 </t>
  </si>
  <si>
    <t>목재 오일스테인</t>
  </si>
  <si>
    <t>야끼바 부스 월</t>
  </si>
  <si>
    <t>외부 석재</t>
    <phoneticPr fontId="2" type="noConversion"/>
  </si>
  <si>
    <t xml:space="preserve">앞주방 앞 키큰장 </t>
    <phoneticPr fontId="2" type="noConversion"/>
  </si>
  <si>
    <t>기둥 앞 서비스 장</t>
    <phoneticPr fontId="2" type="noConversion"/>
  </si>
  <si>
    <t>카운터장</t>
    <phoneticPr fontId="2" type="noConversion"/>
  </si>
  <si>
    <t>메인간판</t>
    <phoneticPr fontId="2" type="noConversion"/>
  </si>
  <si>
    <t>야끼부스 메뉴판</t>
    <phoneticPr fontId="2" type="noConversion"/>
  </si>
  <si>
    <t xml:space="preserve">아트월 </t>
  </si>
  <si>
    <t>아트월 CNC</t>
    <phoneticPr fontId="2" type="noConversion"/>
  </si>
  <si>
    <t>석재 자재</t>
    <phoneticPr fontId="2" type="noConversion"/>
  </si>
  <si>
    <t>석재 시공</t>
    <phoneticPr fontId="2" type="noConversion"/>
  </si>
  <si>
    <t>석재 메지 시공</t>
    <phoneticPr fontId="2" type="noConversion"/>
  </si>
  <si>
    <t>메지 자재</t>
    <phoneticPr fontId="2" type="noConversion"/>
  </si>
  <si>
    <t>T7
(레일)</t>
  </si>
  <si>
    <t>방습등
(大)</t>
  </si>
  <si>
    <t>T5</t>
  </si>
  <si>
    <t>3인치
매입등</t>
  </si>
  <si>
    <t>15호 PL</t>
  </si>
  <si>
    <t>홀</t>
  </si>
  <si>
    <t>앞주방</t>
  </si>
  <si>
    <t>주방</t>
  </si>
  <si>
    <t>덕트</t>
  </si>
  <si>
    <t>홀 붙박이 大</t>
  </si>
  <si>
    <t>홀 붙박이 소</t>
  </si>
  <si>
    <t>6인룸 (1)</t>
  </si>
  <si>
    <t>8인룸</t>
  </si>
  <si>
    <t>6인룸 (2)</t>
  </si>
  <si>
    <t>간판 원통 직부</t>
  </si>
  <si>
    <t>조경 원통 직부</t>
  </si>
  <si>
    <t>문주등</t>
  </si>
  <si>
    <t>디밍스위치</t>
  </si>
  <si>
    <t xml:space="preserve">목재 간판 설치 </t>
    <phoneticPr fontId="2" type="noConversion"/>
  </si>
  <si>
    <t xml:space="preserve">금속 플랜트 박스 </t>
    <phoneticPr fontId="2" type="noConversion"/>
  </si>
  <si>
    <t>15M</t>
    <phoneticPr fontId="2" type="noConversion"/>
  </si>
  <si>
    <t>가네모도어 (힌지포함)</t>
    <phoneticPr fontId="2" type="noConversion"/>
  </si>
  <si>
    <t>도어 재료분리대</t>
    <phoneticPr fontId="2" type="noConversion"/>
  </si>
  <si>
    <t xml:space="preserve">1765 * 200 * 250 </t>
    <phoneticPr fontId="2" type="noConversion"/>
  </si>
  <si>
    <t>2270 * 200 * 250</t>
    <phoneticPr fontId="2" type="noConversion"/>
  </si>
  <si>
    <t>외부 플랜트 박스 (小)</t>
    <phoneticPr fontId="2" type="noConversion"/>
  </si>
  <si>
    <t>외부 플랜트 박스 (大)</t>
    <phoneticPr fontId="2" type="noConversion"/>
  </si>
  <si>
    <t xml:space="preserve">공과잡비 </t>
    <phoneticPr fontId="2" type="noConversion"/>
  </si>
  <si>
    <t>식</t>
    <phoneticPr fontId="2" type="noConversion"/>
  </si>
  <si>
    <t>식</t>
    <phoneticPr fontId="2" type="noConversion"/>
  </si>
  <si>
    <t>박스</t>
    <phoneticPr fontId="2" type="noConversion"/>
  </si>
  <si>
    <t>박스</t>
    <phoneticPr fontId="2" type="noConversion"/>
  </si>
  <si>
    <t>박스</t>
    <phoneticPr fontId="2" type="noConversion"/>
  </si>
  <si>
    <t>아덱스 화이트 메지</t>
    <phoneticPr fontId="2" type="noConversion"/>
  </si>
  <si>
    <t>아덱스 볼케이노 메지</t>
    <phoneticPr fontId="2" type="noConversion"/>
  </si>
  <si>
    <t>EA</t>
    <phoneticPr fontId="2" type="noConversion"/>
  </si>
  <si>
    <t>EA</t>
    <phoneticPr fontId="2" type="noConversion"/>
  </si>
  <si>
    <t>알루미늄비드</t>
    <phoneticPr fontId="2" type="noConversion"/>
  </si>
  <si>
    <t>단위정리 800만원</t>
    <phoneticPr fontId="2" type="noConversion"/>
  </si>
  <si>
    <t>인테리어 필름 자재</t>
    <phoneticPr fontId="2" type="noConversion"/>
  </si>
  <si>
    <t>인테리어 필름 시공</t>
    <phoneticPr fontId="2" type="noConversion"/>
  </si>
  <si>
    <t xml:space="preserve">식대 및 부자재 </t>
    <phoneticPr fontId="2" type="noConversion"/>
  </si>
  <si>
    <t>식</t>
    <phoneticPr fontId="2" type="noConversion"/>
  </si>
  <si>
    <t>m2</t>
    <phoneticPr fontId="2" type="noConversion"/>
  </si>
  <si>
    <t xml:space="preserve">도어 손잡이 </t>
    <phoneticPr fontId="2" type="noConversion"/>
  </si>
  <si>
    <t xml:space="preserve">싱크경첩, 나비경첩, 빠찌링, 푸시빠찌링 </t>
    <phoneticPr fontId="2" type="noConversion"/>
  </si>
  <si>
    <t>진행 협의</t>
    <phoneticPr fontId="2" type="noConversion"/>
  </si>
  <si>
    <t xml:space="preserve">150 미만으로 진행 </t>
    <phoneticPr fontId="2" type="noConversion"/>
  </si>
  <si>
    <t>수도관 및 배관 부속</t>
    <phoneticPr fontId="2" type="noConversion"/>
  </si>
  <si>
    <t>식</t>
    <phoneticPr fontId="2" type="noConversion"/>
  </si>
  <si>
    <t>PVC관</t>
    <phoneticPr fontId="2" type="noConversion"/>
  </si>
  <si>
    <t>VG2</t>
    <phoneticPr fontId="2" type="noConversion"/>
  </si>
  <si>
    <t xml:space="preserve">수전 설치공 </t>
    <phoneticPr fontId="2" type="noConversion"/>
  </si>
  <si>
    <t>품</t>
    <phoneticPr fontId="2" type="noConversion"/>
  </si>
  <si>
    <t>품</t>
    <phoneticPr fontId="2" type="noConversion"/>
  </si>
  <si>
    <t>경비</t>
    <phoneticPr fontId="2" type="noConversion"/>
  </si>
  <si>
    <t>부자재</t>
    <phoneticPr fontId="2" type="noConversion"/>
  </si>
  <si>
    <t xml:space="preserve">자재 및 부자재 </t>
    <phoneticPr fontId="2" type="noConversion"/>
  </si>
  <si>
    <t>식</t>
    <phoneticPr fontId="2" type="noConversion"/>
  </si>
  <si>
    <t>실비</t>
    <phoneticPr fontId="2" type="noConversion"/>
  </si>
  <si>
    <t>조적 / 방수미장공</t>
    <phoneticPr fontId="2" type="noConversion"/>
  </si>
  <si>
    <t>품</t>
    <phoneticPr fontId="2" type="noConversion"/>
  </si>
  <si>
    <t>미장 데모도</t>
    <phoneticPr fontId="2" type="noConversion"/>
  </si>
  <si>
    <t>도막방수 인력</t>
    <phoneticPr fontId="2" type="noConversion"/>
  </si>
  <si>
    <t>품</t>
    <phoneticPr fontId="2" type="noConversion"/>
  </si>
  <si>
    <t>보호모르타르 인력</t>
    <phoneticPr fontId="2" type="noConversion"/>
  </si>
  <si>
    <t>잔손/현장청소 인력</t>
    <phoneticPr fontId="2" type="noConversion"/>
  </si>
  <si>
    <t xml:space="preserve">주방: 20헤배 / 3.6루베 / </t>
    <phoneticPr fontId="2" type="noConversion"/>
  </si>
  <si>
    <t>레미탈 3파레트 반</t>
    <phoneticPr fontId="2" type="noConversion"/>
  </si>
  <si>
    <t xml:space="preserve">메도몰 8 / 방수액 4 / 자나무 2 </t>
    <phoneticPr fontId="2" type="noConversion"/>
  </si>
  <si>
    <t xml:space="preserve">벽돌 400장 / 시멘트 8포 / </t>
    <phoneticPr fontId="2" type="noConversion"/>
  </si>
  <si>
    <t xml:space="preserve">조로1 / 방수비 1 / 고뫄스 / 롤러/ 롤러대 / 막붓 </t>
    <phoneticPr fontId="2" type="noConversion"/>
  </si>
  <si>
    <t>지게차 / 곰방</t>
    <phoneticPr fontId="2" type="noConversion"/>
  </si>
  <si>
    <t>시공 자재</t>
    <phoneticPr fontId="2" type="noConversion"/>
  </si>
  <si>
    <t>개</t>
    <phoneticPr fontId="2" type="noConversion"/>
  </si>
  <si>
    <t>백자갈</t>
    <phoneticPr fontId="2" type="noConversion"/>
  </si>
  <si>
    <t>W 1400 / 1600</t>
    <phoneticPr fontId="2" type="noConversion"/>
  </si>
  <si>
    <t>협의</t>
    <phoneticPr fontId="2" type="noConversion"/>
  </si>
  <si>
    <t>노후 차단기  교체</t>
    <phoneticPr fontId="2" type="noConversion"/>
  </si>
  <si>
    <t>식</t>
    <phoneticPr fontId="2" type="noConversion"/>
  </si>
  <si>
    <t>* 외선공사(전기 증설, 인허가) / 냉난방기 배선 / 소방 전기 / CCTV / 스피커 협의</t>
    <phoneticPr fontId="2" type="noConversion"/>
  </si>
  <si>
    <t>주방벽체 가벽틀 양면 석고 2P</t>
    <phoneticPr fontId="2" type="noConversion"/>
  </si>
  <si>
    <t xml:space="preserve">홀 양측면 떡가베 석고 </t>
    <phoneticPr fontId="2" type="noConversion"/>
  </si>
  <si>
    <t xml:space="preserve">기둥 보수 및 벽체 보수 석고 </t>
    <phoneticPr fontId="2" type="noConversion"/>
  </si>
  <si>
    <t xml:space="preserve">붙박이의자 전체 </t>
    <phoneticPr fontId="2" type="noConversion"/>
  </si>
  <si>
    <t>룸 구조 기둥 틀</t>
    <phoneticPr fontId="2" type="noConversion"/>
  </si>
  <si>
    <t xml:space="preserve">룸 키큰장 </t>
    <phoneticPr fontId="2" type="noConversion"/>
  </si>
  <si>
    <t xml:space="preserve">홀 CNC 아트월 </t>
    <phoneticPr fontId="2" type="noConversion"/>
  </si>
  <si>
    <t>홀 벽체 띠장</t>
    <phoneticPr fontId="2" type="noConversion"/>
  </si>
  <si>
    <t xml:space="preserve">야끼부스 아트월 </t>
    <phoneticPr fontId="2" type="noConversion"/>
  </si>
  <si>
    <t>실외기 하우징 갤러리 문짝</t>
    <phoneticPr fontId="2" type="noConversion"/>
  </si>
  <si>
    <t>배송 설치비</t>
    <phoneticPr fontId="2" type="noConversion"/>
  </si>
  <si>
    <t>원통 조명
(레일)</t>
    <phoneticPr fontId="2" type="noConversion"/>
  </si>
  <si>
    <t>인터넷 구매</t>
    <phoneticPr fontId="2" type="noConversion"/>
  </si>
  <si>
    <t>장</t>
    <phoneticPr fontId="2" type="noConversion"/>
  </si>
  <si>
    <t>품</t>
    <phoneticPr fontId="2" type="noConversion"/>
  </si>
  <si>
    <t xml:space="preserve">미장공 + 데모도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</si>
</sst>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;[Red]#,##0"/>
    <numFmt numFmtId="177" formatCode="0.00_);[Red]\(0.00\)"/>
    <numFmt numFmtId="178" formatCode="_-* #,##0_-;\-* #,##0_-;_-* &quot;-&quot;??_-;_-@_-"/>
    <numFmt numFmtId="179" formatCode="#,##0.00;[Red]#,##0.0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 applyNumberFormat="0" applyFont="0" applyFill="0" applyBorder="0" applyAlignment="0" applyProtection="0"/>
  </cellStyleXfs>
  <cellXfs count="99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8" fillId="2" borderId="2" xfId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5" fillId="0" borderId="0" xfId="1" applyFont="1" applyAlignment="1">
      <alignment horizontal="left" vertical="center" shrinkToFit="1"/>
    </xf>
    <xf numFmtId="0" fontId="5" fillId="0" borderId="0" xfId="1" applyFont="1" applyAlignment="1">
      <alignment horizontal="center" vertical="center"/>
    </xf>
    <xf numFmtId="41" fontId="5" fillId="0" borderId="0" xfId="2" applyFont="1" applyAlignment="1">
      <alignment vertical="center" shrinkToFit="1"/>
    </xf>
    <xf numFmtId="0" fontId="5" fillId="0" borderId="0" xfId="1" applyFont="1" applyAlignment="1">
      <alignment horizontal="center" vertical="center" shrinkToFit="1"/>
    </xf>
    <xf numFmtId="0" fontId="5" fillId="4" borderId="2" xfId="1" applyFont="1" applyFill="1" applyBorder="1" applyAlignment="1">
      <alignment horizontal="center" vertical="center" shrinkToFit="1"/>
    </xf>
    <xf numFmtId="0" fontId="5" fillId="4" borderId="2" xfId="1" applyFont="1" applyFill="1" applyBorder="1" applyAlignment="1">
      <alignment horizontal="center" vertical="center"/>
    </xf>
    <xf numFmtId="41" fontId="5" fillId="4" borderId="2" xfId="2" applyFont="1" applyFill="1" applyBorder="1" applyAlignment="1">
      <alignment vertical="center" shrinkToFit="1"/>
    </xf>
    <xf numFmtId="0" fontId="5" fillId="4" borderId="2" xfId="1" quotePrefix="1" applyFont="1" applyFill="1" applyBorder="1" applyAlignment="1">
      <alignment horizontal="center" vertical="center" shrinkToFit="1"/>
    </xf>
    <xf numFmtId="41" fontId="6" fillId="4" borderId="2" xfId="2" applyFont="1" applyFill="1" applyBorder="1" applyAlignment="1">
      <alignment vertical="center"/>
    </xf>
    <xf numFmtId="41" fontId="7" fillId="4" borderId="2" xfId="2" applyFont="1" applyFill="1" applyBorder="1" applyAlignment="1">
      <alignment vertical="center"/>
    </xf>
    <xf numFmtId="0" fontId="7" fillId="4" borderId="2" xfId="1" applyFont="1" applyFill="1" applyBorder="1" applyAlignment="1">
      <alignment vertical="center"/>
    </xf>
    <xf numFmtId="41" fontId="7" fillId="3" borderId="1" xfId="2" applyFont="1" applyFill="1" applyBorder="1" applyAlignment="1">
      <alignment horizontal="center" vertical="center" shrinkToFit="1"/>
    </xf>
    <xf numFmtId="41" fontId="7" fillId="5" borderId="2" xfId="2" applyFont="1" applyFill="1" applyBorder="1" applyAlignment="1">
      <alignment vertical="center"/>
    </xf>
    <xf numFmtId="0" fontId="5" fillId="0" borderId="2" xfId="1" applyFont="1" applyBorder="1" applyAlignment="1">
      <alignment vertical="center"/>
    </xf>
    <xf numFmtId="41" fontId="4" fillId="4" borderId="2" xfId="2" applyFont="1" applyFill="1" applyBorder="1" applyAlignment="1">
      <alignment vertical="center" shrinkToFit="1"/>
    </xf>
    <xf numFmtId="0" fontId="8" fillId="4" borderId="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176" fontId="7" fillId="4" borderId="2" xfId="1" applyNumberFormat="1" applyFont="1" applyFill="1" applyBorder="1" applyAlignment="1">
      <alignment horizontal="center" vertical="center" shrinkToFit="1"/>
    </xf>
    <xf numFmtId="0" fontId="5" fillId="4" borderId="2" xfId="1" applyFont="1" applyFill="1" applyBorder="1" applyAlignment="1">
      <alignment vertical="center"/>
    </xf>
    <xf numFmtId="0" fontId="9" fillId="4" borderId="2" xfId="0" applyFont="1" applyFill="1" applyBorder="1">
      <alignment vertical="center"/>
    </xf>
    <xf numFmtId="41" fontId="5" fillId="4" borderId="2" xfId="2" quotePrefix="1" applyFont="1" applyFill="1" applyBorder="1" applyAlignment="1">
      <alignment horizontal="center" vertical="center" shrinkToFit="1"/>
    </xf>
    <xf numFmtId="0" fontId="4" fillId="4" borderId="2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 shrinkToFit="1"/>
    </xf>
    <xf numFmtId="0" fontId="4" fillId="4" borderId="2" xfId="1" applyFont="1" applyFill="1" applyBorder="1" applyAlignment="1">
      <alignment horizontal="center" vertical="center" shrinkToFit="1"/>
    </xf>
    <xf numFmtId="0" fontId="4" fillId="4" borderId="2" xfId="1" applyFont="1" applyFill="1" applyBorder="1" applyAlignment="1">
      <alignment vertical="center"/>
    </xf>
    <xf numFmtId="0" fontId="4" fillId="4" borderId="2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shrinkToFit="1"/>
    </xf>
    <xf numFmtId="0" fontId="4" fillId="5" borderId="2" xfId="1" applyFont="1" applyFill="1" applyBorder="1" applyAlignment="1">
      <alignment horizontal="center" vertical="center"/>
    </xf>
    <xf numFmtId="41" fontId="4" fillId="5" borderId="2" xfId="2" applyFont="1" applyFill="1" applyBorder="1" applyAlignment="1">
      <alignment vertical="center" shrinkToFit="1"/>
    </xf>
    <xf numFmtId="176" fontId="6" fillId="4" borderId="2" xfId="2" applyNumberFormat="1" applyFont="1" applyFill="1" applyBorder="1" applyAlignment="1">
      <alignment vertical="center" shrinkToFit="1"/>
    </xf>
    <xf numFmtId="176" fontId="7" fillId="5" borderId="2" xfId="2" applyNumberFormat="1" applyFont="1" applyFill="1" applyBorder="1" applyAlignment="1">
      <alignment vertical="center" shrinkToFit="1"/>
    </xf>
    <xf numFmtId="176" fontId="7" fillId="4" borderId="2" xfId="1" applyNumberFormat="1" applyFont="1" applyFill="1" applyBorder="1" applyAlignment="1">
      <alignment vertical="center"/>
    </xf>
    <xf numFmtId="176" fontId="7" fillId="4" borderId="2" xfId="2" applyNumberFormat="1" applyFont="1" applyFill="1" applyBorder="1" applyAlignment="1">
      <alignment vertical="center" shrinkToFit="1"/>
    </xf>
    <xf numFmtId="176" fontId="7" fillId="2" borderId="2" xfId="1" applyNumberFormat="1" applyFont="1" applyFill="1" applyBorder="1" applyAlignment="1">
      <alignment horizontal="center" vertical="center"/>
    </xf>
    <xf numFmtId="176" fontId="4" fillId="2" borderId="2" xfId="1" applyNumberFormat="1" applyFont="1" applyFill="1" applyBorder="1" applyAlignment="1">
      <alignment horizontal="center" vertical="center" shrinkToFit="1"/>
    </xf>
    <xf numFmtId="176" fontId="4" fillId="4" borderId="2" xfId="1" applyNumberFormat="1" applyFont="1" applyFill="1" applyBorder="1" applyAlignment="1">
      <alignment horizontal="center" vertical="center" shrinkToFit="1"/>
    </xf>
    <xf numFmtId="176" fontId="8" fillId="4" borderId="2" xfId="1" applyNumberFormat="1" applyFont="1" applyFill="1" applyBorder="1" applyAlignment="1">
      <alignment horizontal="center" vertical="center" shrinkToFit="1"/>
    </xf>
    <xf numFmtId="176" fontId="7" fillId="5" borderId="2" xfId="1" applyNumberFormat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shrinkToFit="1"/>
    </xf>
    <xf numFmtId="0" fontId="5" fillId="5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 shrinkToFit="1"/>
    </xf>
    <xf numFmtId="177" fontId="5" fillId="4" borderId="2" xfId="1" applyNumberFormat="1" applyFont="1" applyFill="1" applyBorder="1" applyAlignment="1">
      <alignment horizontal="center" vertical="center" shrinkToFit="1"/>
    </xf>
    <xf numFmtId="178" fontId="4" fillId="2" borderId="2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vertical="center" shrinkToFit="1"/>
    </xf>
    <xf numFmtId="177" fontId="5" fillId="0" borderId="2" xfId="1" applyNumberFormat="1" applyFont="1" applyBorder="1" applyAlignment="1">
      <alignment horizontal="center" vertical="center" shrinkToFit="1"/>
    </xf>
    <xf numFmtId="177" fontId="4" fillId="5" borderId="2" xfId="1" applyNumberFormat="1" applyFont="1" applyFill="1" applyBorder="1" applyAlignment="1">
      <alignment horizontal="center" vertical="center" shrinkToFit="1"/>
    </xf>
    <xf numFmtId="177" fontId="4" fillId="4" borderId="2" xfId="1" applyNumberFormat="1" applyFont="1" applyFill="1" applyBorder="1" applyAlignment="1">
      <alignment horizontal="center" vertical="center" shrinkToFit="1"/>
    </xf>
    <xf numFmtId="177" fontId="5" fillId="5" borderId="2" xfId="1" applyNumberFormat="1" applyFont="1" applyFill="1" applyBorder="1" applyAlignment="1">
      <alignment horizontal="center" vertical="center" shrinkToFit="1"/>
    </xf>
    <xf numFmtId="179" fontId="5" fillId="4" borderId="2" xfId="1" applyNumberFormat="1" applyFont="1" applyFill="1" applyBorder="1" applyAlignment="1">
      <alignment horizontal="center" vertical="center" shrinkToFit="1"/>
    </xf>
    <xf numFmtId="177" fontId="5" fillId="0" borderId="0" xfId="1" applyNumberFormat="1" applyFont="1" applyAlignment="1">
      <alignment horizontal="center" vertical="center" shrinkToFit="1"/>
    </xf>
    <xf numFmtId="0" fontId="5" fillId="4" borderId="2" xfId="1" applyFont="1" applyFill="1" applyBorder="1" applyAlignment="1">
      <alignment horizontal="left" vertical="center" wrapText="1" shrinkToFit="1"/>
    </xf>
    <xf numFmtId="0" fontId="4" fillId="4" borderId="5" xfId="1" applyFont="1" applyFill="1" applyBorder="1" applyAlignment="1">
      <alignment horizontal="center" vertical="center" shrinkToFit="1"/>
    </xf>
    <xf numFmtId="0" fontId="4" fillId="4" borderId="5" xfId="1" applyFont="1" applyFill="1" applyBorder="1" applyAlignment="1">
      <alignment vertical="center"/>
    </xf>
    <xf numFmtId="177" fontId="4" fillId="4" borderId="5" xfId="1" applyNumberFormat="1" applyFont="1" applyFill="1" applyBorder="1" applyAlignment="1">
      <alignment horizontal="center" vertical="center" shrinkToFit="1"/>
    </xf>
    <xf numFmtId="0" fontId="4" fillId="4" borderId="5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178" fontId="4" fillId="5" borderId="2" xfId="1" applyNumberFormat="1" applyFont="1" applyFill="1" applyBorder="1" applyAlignment="1">
      <alignment vertical="center" shrinkToFit="1"/>
    </xf>
    <xf numFmtId="178" fontId="5" fillId="4" borderId="2" xfId="1" applyNumberFormat="1" applyFont="1" applyFill="1" applyBorder="1" applyAlignment="1">
      <alignment vertical="center" shrinkToFit="1"/>
    </xf>
    <xf numFmtId="0" fontId="1" fillId="0" borderId="6" xfId="1" applyBorder="1" applyAlignment="1">
      <alignment horizontal="center" vertical="center"/>
    </xf>
    <xf numFmtId="0" fontId="1" fillId="0" borderId="2" xfId="1" applyBorder="1" applyAlignment="1">
      <alignment vertical="center"/>
    </xf>
    <xf numFmtId="0" fontId="4" fillId="4" borderId="5" xfId="1" applyFont="1" applyFill="1" applyBorder="1" applyAlignment="1">
      <alignment vertical="center" shrinkToFit="1"/>
    </xf>
    <xf numFmtId="41" fontId="9" fillId="4" borderId="2" xfId="0" applyNumberFormat="1" applyFont="1" applyFill="1" applyBorder="1" applyAlignment="1">
      <alignment vertical="center" shrinkToFit="1"/>
    </xf>
    <xf numFmtId="0" fontId="4" fillId="4" borderId="2" xfId="1" applyFont="1" applyFill="1" applyBorder="1" applyAlignment="1">
      <alignment vertical="center" shrinkToFit="1"/>
    </xf>
    <xf numFmtId="41" fontId="5" fillId="5" borderId="2" xfId="2" applyFont="1" applyFill="1" applyBorder="1" applyAlignment="1">
      <alignment vertical="center" shrinkToFit="1"/>
    </xf>
    <xf numFmtId="41" fontId="5" fillId="0" borderId="2" xfId="2" applyFont="1" applyFill="1" applyBorder="1" applyAlignment="1">
      <alignment vertical="center" shrinkToFit="1"/>
    </xf>
    <xf numFmtId="41" fontId="5" fillId="4" borderId="2" xfId="2" applyFont="1" applyFill="1" applyBorder="1" applyAlignment="1">
      <alignment horizontal="left" vertical="center" indent="1" shrinkToFit="1"/>
    </xf>
    <xf numFmtId="0" fontId="8" fillId="5" borderId="2" xfId="1" applyFont="1" applyFill="1" applyBorder="1" applyAlignment="1">
      <alignment horizontal="center" vertical="center"/>
    </xf>
    <xf numFmtId="176" fontId="8" fillId="2" borderId="2" xfId="1" applyNumberFormat="1" applyFont="1" applyFill="1" applyBorder="1" applyAlignment="1">
      <alignment horizontal="center" vertical="center" shrinkToFit="1"/>
    </xf>
    <xf numFmtId="0" fontId="4" fillId="6" borderId="2" xfId="1" applyFont="1" applyFill="1" applyBorder="1" applyAlignment="1">
      <alignment horizontal="center" vertical="center" shrinkToFit="1"/>
    </xf>
    <xf numFmtId="0" fontId="4" fillId="6" borderId="2" xfId="1" applyFont="1" applyFill="1" applyBorder="1" applyAlignment="1">
      <alignment vertical="center"/>
    </xf>
    <xf numFmtId="177" fontId="4" fillId="6" borderId="2" xfId="1" applyNumberFormat="1" applyFont="1" applyFill="1" applyBorder="1" applyAlignment="1">
      <alignment horizontal="center" vertical="center" shrinkToFit="1"/>
    </xf>
    <xf numFmtId="0" fontId="4" fillId="6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vertical="center" shrinkToFit="1"/>
    </xf>
    <xf numFmtId="0" fontId="5" fillId="6" borderId="2" xfId="1" applyFont="1" applyFill="1" applyBorder="1" applyAlignment="1">
      <alignment horizontal="center" vertical="center" shrinkToFit="1"/>
    </xf>
    <xf numFmtId="0" fontId="5" fillId="6" borderId="2" xfId="1" applyFont="1" applyFill="1" applyBorder="1" applyAlignment="1">
      <alignment vertical="center"/>
    </xf>
    <xf numFmtId="177" fontId="5" fillId="6" borderId="2" xfId="1" applyNumberFormat="1" applyFont="1" applyFill="1" applyBorder="1" applyAlignment="1">
      <alignment horizontal="center" vertical="center" shrinkToFit="1"/>
    </xf>
    <xf numFmtId="0" fontId="5" fillId="6" borderId="2" xfId="1" applyFont="1" applyFill="1" applyBorder="1" applyAlignment="1">
      <alignment horizontal="center" vertical="center"/>
    </xf>
    <xf numFmtId="41" fontId="5" fillId="6" borderId="2" xfId="2" applyFont="1" applyFill="1" applyBorder="1" applyAlignment="1">
      <alignment vertical="center" shrinkToFit="1"/>
    </xf>
    <xf numFmtId="178" fontId="5" fillId="6" borderId="2" xfId="1" applyNumberFormat="1" applyFont="1" applyFill="1" applyBorder="1" applyAlignment="1">
      <alignment vertical="center" shrinkToFit="1"/>
    </xf>
    <xf numFmtId="0" fontId="8" fillId="6" borderId="2" xfId="1" applyFont="1" applyFill="1" applyBorder="1" applyAlignment="1">
      <alignment horizontal="center" vertical="center" shrinkToFit="1"/>
    </xf>
    <xf numFmtId="0" fontId="5" fillId="6" borderId="2" xfId="1" applyFont="1" applyFill="1" applyBorder="1" applyAlignment="1">
      <alignment vertical="center" shrinkToFit="1"/>
    </xf>
    <xf numFmtId="0" fontId="8" fillId="6" borderId="2" xfId="1" applyFont="1" applyFill="1" applyBorder="1" applyAlignment="1">
      <alignment horizontal="center" vertical="center"/>
    </xf>
    <xf numFmtId="179" fontId="5" fillId="6" borderId="2" xfId="1" applyNumberFormat="1" applyFont="1" applyFill="1" applyBorder="1" applyAlignment="1">
      <alignment horizontal="center" vertical="center" shrinkToFit="1"/>
    </xf>
    <xf numFmtId="41" fontId="7" fillId="3" borderId="2" xfId="2" applyFont="1" applyFill="1" applyBorder="1" applyAlignment="1">
      <alignment horizontal="center" vertical="center" shrinkToFit="1"/>
    </xf>
    <xf numFmtId="0" fontId="7" fillId="3" borderId="2" xfId="1" applyFont="1" applyFill="1" applyBorder="1" applyAlignment="1">
      <alignment horizontal="center" vertical="center" shrinkToFit="1"/>
    </xf>
    <xf numFmtId="0" fontId="7" fillId="3" borderId="1" xfId="1" applyFont="1" applyFill="1" applyBorder="1" applyAlignment="1">
      <alignment horizontal="center" vertical="center" shrinkToFit="1"/>
    </xf>
    <xf numFmtId="0" fontId="7" fillId="3" borderId="2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177" fontId="7" fillId="3" borderId="3" xfId="1" applyNumberFormat="1" applyFont="1" applyFill="1" applyBorder="1" applyAlignment="1">
      <alignment horizontal="center" vertical="center" shrinkToFit="1"/>
    </xf>
    <xf numFmtId="177" fontId="7" fillId="3" borderId="4" xfId="1" applyNumberFormat="1" applyFont="1" applyFill="1" applyBorder="1" applyAlignment="1">
      <alignment horizontal="center" vertical="center" shrinkToFit="1"/>
    </xf>
    <xf numFmtId="0" fontId="1" fillId="0" borderId="6" xfId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shrinkToFit="1"/>
    </xf>
    <xf numFmtId="0" fontId="7" fillId="3" borderId="4" xfId="1" applyFont="1" applyFill="1" applyBorder="1" applyAlignment="1">
      <alignment horizontal="center" vertical="center" shrinkToFit="1"/>
    </xf>
  </cellXfs>
  <cellStyles count="7">
    <cellStyle name="쉼표 [0] 2" xfId="2" xr:uid="{00000000-0005-0000-0000-000001000000}"/>
    <cellStyle name="표준" xfId="0" builtinId="0"/>
    <cellStyle name="표준 10 2" xfId="5" xr:uid="{00000000-0005-0000-0000-000003000000}"/>
    <cellStyle name="표준 2" xfId="1" xr:uid="{00000000-0005-0000-0000-000004000000}"/>
    <cellStyle name="표준 2 2" xfId="4" xr:uid="{00000000-0005-0000-0000-000005000000}"/>
    <cellStyle name="표준 24" xfId="6" xr:uid="{00000000-0005-0000-0000-000006000000}"/>
    <cellStyle name="표준 5" xfId="3" xr:uid="{00000000-0005-0000-0000-000007000000}"/>
  </cellStyles>
  <dxfs count="0"/>
  <tableStyles count="0" defaultTableStyle="TableStyleMedium2" defaultPivotStyle="PivotStyleLight16"/>
  <colors>
    <mruColors>
      <color rgb="FF0ED8E2"/>
      <color rgb="FF03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S167"/>
  <sheetViews>
    <sheetView showGridLines="0" tabSelected="1" view="pageBreakPreview" zoomScale="70" zoomScaleNormal="100" zoomScaleSheetLayoutView="70" workbookViewId="0">
      <pane ySplit="2" topLeftCell="A3" activePane="bottomLeft" state="frozen"/>
      <selection activeCell="E19" sqref="E19"/>
      <selection pane="bottomLeft" activeCell="W8" sqref="W8"/>
    </sheetView>
  </sheetViews>
  <sheetFormatPr defaultRowHeight="22.5" customHeight="1" x14ac:dyDescent="0.3"/>
  <cols>
    <col min="1" max="1" width="3.625" style="3" bestFit="1" customWidth="1"/>
    <col min="2" max="2" width="23.625" style="4" customWidth="1"/>
    <col min="3" max="3" width="23.625" style="5" customWidth="1"/>
    <col min="4" max="4" width="7.125" style="55" customWidth="1"/>
    <col min="5" max="5" width="5.625" style="5" customWidth="1"/>
    <col min="6" max="15" width="11.625" style="6" customWidth="1"/>
    <col min="16" max="16" width="29.625" style="7" customWidth="1"/>
    <col min="17" max="256" width="9" style="3"/>
    <col min="257" max="257" width="3.625" style="3" bestFit="1" customWidth="1"/>
    <col min="258" max="259" width="23.375" style="3" customWidth="1"/>
    <col min="260" max="261" width="7.625" style="3" customWidth="1"/>
    <col min="262" max="263" width="17.75" style="3" customWidth="1"/>
    <col min="264" max="264" width="21.125" style="3" customWidth="1"/>
    <col min="265" max="265" width="11.125" style="3" customWidth="1"/>
    <col min="266" max="512" width="9" style="3"/>
    <col min="513" max="513" width="3.625" style="3" bestFit="1" customWidth="1"/>
    <col min="514" max="515" width="23.375" style="3" customWidth="1"/>
    <col min="516" max="517" width="7.625" style="3" customWidth="1"/>
    <col min="518" max="519" width="17.75" style="3" customWidth="1"/>
    <col min="520" max="520" width="21.125" style="3" customWidth="1"/>
    <col min="521" max="521" width="11.125" style="3" customWidth="1"/>
    <col min="522" max="768" width="9" style="3"/>
    <col min="769" max="769" width="3.625" style="3" bestFit="1" customWidth="1"/>
    <col min="770" max="771" width="23.375" style="3" customWidth="1"/>
    <col min="772" max="773" width="7.625" style="3" customWidth="1"/>
    <col min="774" max="775" width="17.75" style="3" customWidth="1"/>
    <col min="776" max="776" width="21.125" style="3" customWidth="1"/>
    <col min="777" max="777" width="11.125" style="3" customWidth="1"/>
    <col min="778" max="1024" width="9" style="3"/>
    <col min="1025" max="1025" width="3.625" style="3" bestFit="1" customWidth="1"/>
    <col min="1026" max="1027" width="23.375" style="3" customWidth="1"/>
    <col min="1028" max="1029" width="7.625" style="3" customWidth="1"/>
    <col min="1030" max="1031" width="17.75" style="3" customWidth="1"/>
    <col min="1032" max="1032" width="21.125" style="3" customWidth="1"/>
    <col min="1033" max="1033" width="11.125" style="3" customWidth="1"/>
    <col min="1034" max="1280" width="9" style="3"/>
    <col min="1281" max="1281" width="3.625" style="3" bestFit="1" customWidth="1"/>
    <col min="1282" max="1283" width="23.375" style="3" customWidth="1"/>
    <col min="1284" max="1285" width="7.625" style="3" customWidth="1"/>
    <col min="1286" max="1287" width="17.75" style="3" customWidth="1"/>
    <col min="1288" max="1288" width="21.125" style="3" customWidth="1"/>
    <col min="1289" max="1289" width="11.125" style="3" customWidth="1"/>
    <col min="1290" max="1536" width="9" style="3"/>
    <col min="1537" max="1537" width="3.625" style="3" bestFit="1" customWidth="1"/>
    <col min="1538" max="1539" width="23.375" style="3" customWidth="1"/>
    <col min="1540" max="1541" width="7.625" style="3" customWidth="1"/>
    <col min="1542" max="1543" width="17.75" style="3" customWidth="1"/>
    <col min="1544" max="1544" width="21.125" style="3" customWidth="1"/>
    <col min="1545" max="1545" width="11.125" style="3" customWidth="1"/>
    <col min="1546" max="1792" width="9" style="3"/>
    <col min="1793" max="1793" width="3.625" style="3" bestFit="1" customWidth="1"/>
    <col min="1794" max="1795" width="23.375" style="3" customWidth="1"/>
    <col min="1796" max="1797" width="7.625" style="3" customWidth="1"/>
    <col min="1798" max="1799" width="17.75" style="3" customWidth="1"/>
    <col min="1800" max="1800" width="21.125" style="3" customWidth="1"/>
    <col min="1801" max="1801" width="11.125" style="3" customWidth="1"/>
    <col min="1802" max="2048" width="9" style="3"/>
    <col min="2049" max="2049" width="3.625" style="3" bestFit="1" customWidth="1"/>
    <col min="2050" max="2051" width="23.375" style="3" customWidth="1"/>
    <col min="2052" max="2053" width="7.625" style="3" customWidth="1"/>
    <col min="2054" max="2055" width="17.75" style="3" customWidth="1"/>
    <col min="2056" max="2056" width="21.125" style="3" customWidth="1"/>
    <col min="2057" max="2057" width="11.125" style="3" customWidth="1"/>
    <col min="2058" max="2304" width="9" style="3"/>
    <col min="2305" max="2305" width="3.625" style="3" bestFit="1" customWidth="1"/>
    <col min="2306" max="2307" width="23.375" style="3" customWidth="1"/>
    <col min="2308" max="2309" width="7.625" style="3" customWidth="1"/>
    <col min="2310" max="2311" width="17.75" style="3" customWidth="1"/>
    <col min="2312" max="2312" width="21.125" style="3" customWidth="1"/>
    <col min="2313" max="2313" width="11.125" style="3" customWidth="1"/>
    <col min="2314" max="2560" width="9" style="3"/>
    <col min="2561" max="2561" width="3.625" style="3" bestFit="1" customWidth="1"/>
    <col min="2562" max="2563" width="23.375" style="3" customWidth="1"/>
    <col min="2564" max="2565" width="7.625" style="3" customWidth="1"/>
    <col min="2566" max="2567" width="17.75" style="3" customWidth="1"/>
    <col min="2568" max="2568" width="21.125" style="3" customWidth="1"/>
    <col min="2569" max="2569" width="11.125" style="3" customWidth="1"/>
    <col min="2570" max="2816" width="9" style="3"/>
    <col min="2817" max="2817" width="3.625" style="3" bestFit="1" customWidth="1"/>
    <col min="2818" max="2819" width="23.375" style="3" customWidth="1"/>
    <col min="2820" max="2821" width="7.625" style="3" customWidth="1"/>
    <col min="2822" max="2823" width="17.75" style="3" customWidth="1"/>
    <col min="2824" max="2824" width="21.125" style="3" customWidth="1"/>
    <col min="2825" max="2825" width="11.125" style="3" customWidth="1"/>
    <col min="2826" max="3072" width="9" style="3"/>
    <col min="3073" max="3073" width="3.625" style="3" bestFit="1" customWidth="1"/>
    <col min="3074" max="3075" width="23.375" style="3" customWidth="1"/>
    <col min="3076" max="3077" width="7.625" style="3" customWidth="1"/>
    <col min="3078" max="3079" width="17.75" style="3" customWidth="1"/>
    <col min="3080" max="3080" width="21.125" style="3" customWidth="1"/>
    <col min="3081" max="3081" width="11.125" style="3" customWidth="1"/>
    <col min="3082" max="3328" width="9" style="3"/>
    <col min="3329" max="3329" width="3.625" style="3" bestFit="1" customWidth="1"/>
    <col min="3330" max="3331" width="23.375" style="3" customWidth="1"/>
    <col min="3332" max="3333" width="7.625" style="3" customWidth="1"/>
    <col min="3334" max="3335" width="17.75" style="3" customWidth="1"/>
    <col min="3336" max="3336" width="21.125" style="3" customWidth="1"/>
    <col min="3337" max="3337" width="11.125" style="3" customWidth="1"/>
    <col min="3338" max="3584" width="9" style="3"/>
    <col min="3585" max="3585" width="3.625" style="3" bestFit="1" customWidth="1"/>
    <col min="3586" max="3587" width="23.375" style="3" customWidth="1"/>
    <col min="3588" max="3589" width="7.625" style="3" customWidth="1"/>
    <col min="3590" max="3591" width="17.75" style="3" customWidth="1"/>
    <col min="3592" max="3592" width="21.125" style="3" customWidth="1"/>
    <col min="3593" max="3593" width="11.125" style="3" customWidth="1"/>
    <col min="3594" max="3840" width="9" style="3"/>
    <col min="3841" max="3841" width="3.625" style="3" bestFit="1" customWidth="1"/>
    <col min="3842" max="3843" width="23.375" style="3" customWidth="1"/>
    <col min="3844" max="3845" width="7.625" style="3" customWidth="1"/>
    <col min="3846" max="3847" width="17.75" style="3" customWidth="1"/>
    <col min="3848" max="3848" width="21.125" style="3" customWidth="1"/>
    <col min="3849" max="3849" width="11.125" style="3" customWidth="1"/>
    <col min="3850" max="4096" width="9" style="3"/>
    <col min="4097" max="4097" width="3.625" style="3" bestFit="1" customWidth="1"/>
    <col min="4098" max="4099" width="23.375" style="3" customWidth="1"/>
    <col min="4100" max="4101" width="7.625" style="3" customWidth="1"/>
    <col min="4102" max="4103" width="17.75" style="3" customWidth="1"/>
    <col min="4104" max="4104" width="21.125" style="3" customWidth="1"/>
    <col min="4105" max="4105" width="11.125" style="3" customWidth="1"/>
    <col min="4106" max="4352" width="9" style="3"/>
    <col min="4353" max="4353" width="3.625" style="3" bestFit="1" customWidth="1"/>
    <col min="4354" max="4355" width="23.375" style="3" customWidth="1"/>
    <col min="4356" max="4357" width="7.625" style="3" customWidth="1"/>
    <col min="4358" max="4359" width="17.75" style="3" customWidth="1"/>
    <col min="4360" max="4360" width="21.125" style="3" customWidth="1"/>
    <col min="4361" max="4361" width="11.125" style="3" customWidth="1"/>
    <col min="4362" max="4608" width="9" style="3"/>
    <col min="4609" max="4609" width="3.625" style="3" bestFit="1" customWidth="1"/>
    <col min="4610" max="4611" width="23.375" style="3" customWidth="1"/>
    <col min="4612" max="4613" width="7.625" style="3" customWidth="1"/>
    <col min="4614" max="4615" width="17.75" style="3" customWidth="1"/>
    <col min="4616" max="4616" width="21.125" style="3" customWidth="1"/>
    <col min="4617" max="4617" width="11.125" style="3" customWidth="1"/>
    <col min="4618" max="4864" width="9" style="3"/>
    <col min="4865" max="4865" width="3.625" style="3" bestFit="1" customWidth="1"/>
    <col min="4866" max="4867" width="23.375" style="3" customWidth="1"/>
    <col min="4868" max="4869" width="7.625" style="3" customWidth="1"/>
    <col min="4870" max="4871" width="17.75" style="3" customWidth="1"/>
    <col min="4872" max="4872" width="21.125" style="3" customWidth="1"/>
    <col min="4873" max="4873" width="11.125" style="3" customWidth="1"/>
    <col min="4874" max="5120" width="9" style="3"/>
    <col min="5121" max="5121" width="3.625" style="3" bestFit="1" customWidth="1"/>
    <col min="5122" max="5123" width="23.375" style="3" customWidth="1"/>
    <col min="5124" max="5125" width="7.625" style="3" customWidth="1"/>
    <col min="5126" max="5127" width="17.75" style="3" customWidth="1"/>
    <col min="5128" max="5128" width="21.125" style="3" customWidth="1"/>
    <col min="5129" max="5129" width="11.125" style="3" customWidth="1"/>
    <col min="5130" max="5376" width="9" style="3"/>
    <col min="5377" max="5377" width="3.625" style="3" bestFit="1" customWidth="1"/>
    <col min="5378" max="5379" width="23.375" style="3" customWidth="1"/>
    <col min="5380" max="5381" width="7.625" style="3" customWidth="1"/>
    <col min="5382" max="5383" width="17.75" style="3" customWidth="1"/>
    <col min="5384" max="5384" width="21.125" style="3" customWidth="1"/>
    <col min="5385" max="5385" width="11.125" style="3" customWidth="1"/>
    <col min="5386" max="5632" width="9" style="3"/>
    <col min="5633" max="5633" width="3.625" style="3" bestFit="1" customWidth="1"/>
    <col min="5634" max="5635" width="23.375" style="3" customWidth="1"/>
    <col min="5636" max="5637" width="7.625" style="3" customWidth="1"/>
    <col min="5638" max="5639" width="17.75" style="3" customWidth="1"/>
    <col min="5640" max="5640" width="21.125" style="3" customWidth="1"/>
    <col min="5641" max="5641" width="11.125" style="3" customWidth="1"/>
    <col min="5642" max="5888" width="9" style="3"/>
    <col min="5889" max="5889" width="3.625" style="3" bestFit="1" customWidth="1"/>
    <col min="5890" max="5891" width="23.375" style="3" customWidth="1"/>
    <col min="5892" max="5893" width="7.625" style="3" customWidth="1"/>
    <col min="5894" max="5895" width="17.75" style="3" customWidth="1"/>
    <col min="5896" max="5896" width="21.125" style="3" customWidth="1"/>
    <col min="5897" max="5897" width="11.125" style="3" customWidth="1"/>
    <col min="5898" max="6144" width="9" style="3"/>
    <col min="6145" max="6145" width="3.625" style="3" bestFit="1" customWidth="1"/>
    <col min="6146" max="6147" width="23.375" style="3" customWidth="1"/>
    <col min="6148" max="6149" width="7.625" style="3" customWidth="1"/>
    <col min="6150" max="6151" width="17.75" style="3" customWidth="1"/>
    <col min="6152" max="6152" width="21.125" style="3" customWidth="1"/>
    <col min="6153" max="6153" width="11.125" style="3" customWidth="1"/>
    <col min="6154" max="6400" width="9" style="3"/>
    <col min="6401" max="6401" width="3.625" style="3" bestFit="1" customWidth="1"/>
    <col min="6402" max="6403" width="23.375" style="3" customWidth="1"/>
    <col min="6404" max="6405" width="7.625" style="3" customWidth="1"/>
    <col min="6406" max="6407" width="17.75" style="3" customWidth="1"/>
    <col min="6408" max="6408" width="21.125" style="3" customWidth="1"/>
    <col min="6409" max="6409" width="11.125" style="3" customWidth="1"/>
    <col min="6410" max="6656" width="9" style="3"/>
    <col min="6657" max="6657" width="3.625" style="3" bestFit="1" customWidth="1"/>
    <col min="6658" max="6659" width="23.375" style="3" customWidth="1"/>
    <col min="6660" max="6661" width="7.625" style="3" customWidth="1"/>
    <col min="6662" max="6663" width="17.75" style="3" customWidth="1"/>
    <col min="6664" max="6664" width="21.125" style="3" customWidth="1"/>
    <col min="6665" max="6665" width="11.125" style="3" customWidth="1"/>
    <col min="6666" max="6912" width="9" style="3"/>
    <col min="6913" max="6913" width="3.625" style="3" bestFit="1" customWidth="1"/>
    <col min="6914" max="6915" width="23.375" style="3" customWidth="1"/>
    <col min="6916" max="6917" width="7.625" style="3" customWidth="1"/>
    <col min="6918" max="6919" width="17.75" style="3" customWidth="1"/>
    <col min="6920" max="6920" width="21.125" style="3" customWidth="1"/>
    <col min="6921" max="6921" width="11.125" style="3" customWidth="1"/>
    <col min="6922" max="7168" width="9" style="3"/>
    <col min="7169" max="7169" width="3.625" style="3" bestFit="1" customWidth="1"/>
    <col min="7170" max="7171" width="23.375" style="3" customWidth="1"/>
    <col min="7172" max="7173" width="7.625" style="3" customWidth="1"/>
    <col min="7174" max="7175" width="17.75" style="3" customWidth="1"/>
    <col min="7176" max="7176" width="21.125" style="3" customWidth="1"/>
    <col min="7177" max="7177" width="11.125" style="3" customWidth="1"/>
    <col min="7178" max="7424" width="9" style="3"/>
    <col min="7425" max="7425" width="3.625" style="3" bestFit="1" customWidth="1"/>
    <col min="7426" max="7427" width="23.375" style="3" customWidth="1"/>
    <col min="7428" max="7429" width="7.625" style="3" customWidth="1"/>
    <col min="7430" max="7431" width="17.75" style="3" customWidth="1"/>
    <col min="7432" max="7432" width="21.125" style="3" customWidth="1"/>
    <col min="7433" max="7433" width="11.125" style="3" customWidth="1"/>
    <col min="7434" max="7680" width="9" style="3"/>
    <col min="7681" max="7681" width="3.625" style="3" bestFit="1" customWidth="1"/>
    <col min="7682" max="7683" width="23.375" style="3" customWidth="1"/>
    <col min="7684" max="7685" width="7.625" style="3" customWidth="1"/>
    <col min="7686" max="7687" width="17.75" style="3" customWidth="1"/>
    <col min="7688" max="7688" width="21.125" style="3" customWidth="1"/>
    <col min="7689" max="7689" width="11.125" style="3" customWidth="1"/>
    <col min="7690" max="7936" width="9" style="3"/>
    <col min="7937" max="7937" width="3.625" style="3" bestFit="1" customWidth="1"/>
    <col min="7938" max="7939" width="23.375" style="3" customWidth="1"/>
    <col min="7940" max="7941" width="7.625" style="3" customWidth="1"/>
    <col min="7942" max="7943" width="17.75" style="3" customWidth="1"/>
    <col min="7944" max="7944" width="21.125" style="3" customWidth="1"/>
    <col min="7945" max="7945" width="11.125" style="3" customWidth="1"/>
    <col min="7946" max="8192" width="9" style="3"/>
    <col min="8193" max="8193" width="3.625" style="3" bestFit="1" customWidth="1"/>
    <col min="8194" max="8195" width="23.375" style="3" customWidth="1"/>
    <col min="8196" max="8197" width="7.625" style="3" customWidth="1"/>
    <col min="8198" max="8199" width="17.75" style="3" customWidth="1"/>
    <col min="8200" max="8200" width="21.125" style="3" customWidth="1"/>
    <col min="8201" max="8201" width="11.125" style="3" customWidth="1"/>
    <col min="8202" max="8448" width="9" style="3"/>
    <col min="8449" max="8449" width="3.625" style="3" bestFit="1" customWidth="1"/>
    <col min="8450" max="8451" width="23.375" style="3" customWidth="1"/>
    <col min="8452" max="8453" width="7.625" style="3" customWidth="1"/>
    <col min="8454" max="8455" width="17.75" style="3" customWidth="1"/>
    <col min="8456" max="8456" width="21.125" style="3" customWidth="1"/>
    <col min="8457" max="8457" width="11.125" style="3" customWidth="1"/>
    <col min="8458" max="8704" width="9" style="3"/>
    <col min="8705" max="8705" width="3.625" style="3" bestFit="1" customWidth="1"/>
    <col min="8706" max="8707" width="23.375" style="3" customWidth="1"/>
    <col min="8708" max="8709" width="7.625" style="3" customWidth="1"/>
    <col min="8710" max="8711" width="17.75" style="3" customWidth="1"/>
    <col min="8712" max="8712" width="21.125" style="3" customWidth="1"/>
    <col min="8713" max="8713" width="11.125" style="3" customWidth="1"/>
    <col min="8714" max="8960" width="9" style="3"/>
    <col min="8961" max="8961" width="3.625" style="3" bestFit="1" customWidth="1"/>
    <col min="8962" max="8963" width="23.375" style="3" customWidth="1"/>
    <col min="8964" max="8965" width="7.625" style="3" customWidth="1"/>
    <col min="8966" max="8967" width="17.75" style="3" customWidth="1"/>
    <col min="8968" max="8968" width="21.125" style="3" customWidth="1"/>
    <col min="8969" max="8969" width="11.125" style="3" customWidth="1"/>
    <col min="8970" max="9216" width="9" style="3"/>
    <col min="9217" max="9217" width="3.625" style="3" bestFit="1" customWidth="1"/>
    <col min="9218" max="9219" width="23.375" style="3" customWidth="1"/>
    <col min="9220" max="9221" width="7.625" style="3" customWidth="1"/>
    <col min="9222" max="9223" width="17.75" style="3" customWidth="1"/>
    <col min="9224" max="9224" width="21.125" style="3" customWidth="1"/>
    <col min="9225" max="9225" width="11.125" style="3" customWidth="1"/>
    <col min="9226" max="9472" width="9" style="3"/>
    <col min="9473" max="9473" width="3.625" style="3" bestFit="1" customWidth="1"/>
    <col min="9474" max="9475" width="23.375" style="3" customWidth="1"/>
    <col min="9476" max="9477" width="7.625" style="3" customWidth="1"/>
    <col min="9478" max="9479" width="17.75" style="3" customWidth="1"/>
    <col min="9480" max="9480" width="21.125" style="3" customWidth="1"/>
    <col min="9481" max="9481" width="11.125" style="3" customWidth="1"/>
    <col min="9482" max="9728" width="9" style="3"/>
    <col min="9729" max="9729" width="3.625" style="3" bestFit="1" customWidth="1"/>
    <col min="9730" max="9731" width="23.375" style="3" customWidth="1"/>
    <col min="9732" max="9733" width="7.625" style="3" customWidth="1"/>
    <col min="9734" max="9735" width="17.75" style="3" customWidth="1"/>
    <col min="9736" max="9736" width="21.125" style="3" customWidth="1"/>
    <col min="9737" max="9737" width="11.125" style="3" customWidth="1"/>
    <col min="9738" max="9984" width="9" style="3"/>
    <col min="9985" max="9985" width="3.625" style="3" bestFit="1" customWidth="1"/>
    <col min="9986" max="9987" width="23.375" style="3" customWidth="1"/>
    <col min="9988" max="9989" width="7.625" style="3" customWidth="1"/>
    <col min="9990" max="9991" width="17.75" style="3" customWidth="1"/>
    <col min="9992" max="9992" width="21.125" style="3" customWidth="1"/>
    <col min="9993" max="9993" width="11.125" style="3" customWidth="1"/>
    <col min="9994" max="10240" width="9" style="3"/>
    <col min="10241" max="10241" width="3.625" style="3" bestFit="1" customWidth="1"/>
    <col min="10242" max="10243" width="23.375" style="3" customWidth="1"/>
    <col min="10244" max="10245" width="7.625" style="3" customWidth="1"/>
    <col min="10246" max="10247" width="17.75" style="3" customWidth="1"/>
    <col min="10248" max="10248" width="21.125" style="3" customWidth="1"/>
    <col min="10249" max="10249" width="11.125" style="3" customWidth="1"/>
    <col min="10250" max="10496" width="9" style="3"/>
    <col min="10497" max="10497" width="3.625" style="3" bestFit="1" customWidth="1"/>
    <col min="10498" max="10499" width="23.375" style="3" customWidth="1"/>
    <col min="10500" max="10501" width="7.625" style="3" customWidth="1"/>
    <col min="10502" max="10503" width="17.75" style="3" customWidth="1"/>
    <col min="10504" max="10504" width="21.125" style="3" customWidth="1"/>
    <col min="10505" max="10505" width="11.125" style="3" customWidth="1"/>
    <col min="10506" max="10752" width="9" style="3"/>
    <col min="10753" max="10753" width="3.625" style="3" bestFit="1" customWidth="1"/>
    <col min="10754" max="10755" width="23.375" style="3" customWidth="1"/>
    <col min="10756" max="10757" width="7.625" style="3" customWidth="1"/>
    <col min="10758" max="10759" width="17.75" style="3" customWidth="1"/>
    <col min="10760" max="10760" width="21.125" style="3" customWidth="1"/>
    <col min="10761" max="10761" width="11.125" style="3" customWidth="1"/>
    <col min="10762" max="11008" width="9" style="3"/>
    <col min="11009" max="11009" width="3.625" style="3" bestFit="1" customWidth="1"/>
    <col min="11010" max="11011" width="23.375" style="3" customWidth="1"/>
    <col min="11012" max="11013" width="7.625" style="3" customWidth="1"/>
    <col min="11014" max="11015" width="17.75" style="3" customWidth="1"/>
    <col min="11016" max="11016" width="21.125" style="3" customWidth="1"/>
    <col min="11017" max="11017" width="11.125" style="3" customWidth="1"/>
    <col min="11018" max="11264" width="9" style="3"/>
    <col min="11265" max="11265" width="3.625" style="3" bestFit="1" customWidth="1"/>
    <col min="11266" max="11267" width="23.375" style="3" customWidth="1"/>
    <col min="11268" max="11269" width="7.625" style="3" customWidth="1"/>
    <col min="11270" max="11271" width="17.75" style="3" customWidth="1"/>
    <col min="11272" max="11272" width="21.125" style="3" customWidth="1"/>
    <col min="11273" max="11273" width="11.125" style="3" customWidth="1"/>
    <col min="11274" max="11520" width="9" style="3"/>
    <col min="11521" max="11521" width="3.625" style="3" bestFit="1" customWidth="1"/>
    <col min="11522" max="11523" width="23.375" style="3" customWidth="1"/>
    <col min="11524" max="11525" width="7.625" style="3" customWidth="1"/>
    <col min="11526" max="11527" width="17.75" style="3" customWidth="1"/>
    <col min="11528" max="11528" width="21.125" style="3" customWidth="1"/>
    <col min="11529" max="11529" width="11.125" style="3" customWidth="1"/>
    <col min="11530" max="11776" width="9" style="3"/>
    <col min="11777" max="11777" width="3.625" style="3" bestFit="1" customWidth="1"/>
    <col min="11778" max="11779" width="23.375" style="3" customWidth="1"/>
    <col min="11780" max="11781" width="7.625" style="3" customWidth="1"/>
    <col min="11782" max="11783" width="17.75" style="3" customWidth="1"/>
    <col min="11784" max="11784" width="21.125" style="3" customWidth="1"/>
    <col min="11785" max="11785" width="11.125" style="3" customWidth="1"/>
    <col min="11786" max="12032" width="9" style="3"/>
    <col min="12033" max="12033" width="3.625" style="3" bestFit="1" customWidth="1"/>
    <col min="12034" max="12035" width="23.375" style="3" customWidth="1"/>
    <col min="12036" max="12037" width="7.625" style="3" customWidth="1"/>
    <col min="12038" max="12039" width="17.75" style="3" customWidth="1"/>
    <col min="12040" max="12040" width="21.125" style="3" customWidth="1"/>
    <col min="12041" max="12041" width="11.125" style="3" customWidth="1"/>
    <col min="12042" max="12288" width="9" style="3"/>
    <col min="12289" max="12289" width="3.625" style="3" bestFit="1" customWidth="1"/>
    <col min="12290" max="12291" width="23.375" style="3" customWidth="1"/>
    <col min="12292" max="12293" width="7.625" style="3" customWidth="1"/>
    <col min="12294" max="12295" width="17.75" style="3" customWidth="1"/>
    <col min="12296" max="12296" width="21.125" style="3" customWidth="1"/>
    <col min="12297" max="12297" width="11.125" style="3" customWidth="1"/>
    <col min="12298" max="12544" width="9" style="3"/>
    <col min="12545" max="12545" width="3.625" style="3" bestFit="1" customWidth="1"/>
    <col min="12546" max="12547" width="23.375" style="3" customWidth="1"/>
    <col min="12548" max="12549" width="7.625" style="3" customWidth="1"/>
    <col min="12550" max="12551" width="17.75" style="3" customWidth="1"/>
    <col min="12552" max="12552" width="21.125" style="3" customWidth="1"/>
    <col min="12553" max="12553" width="11.125" style="3" customWidth="1"/>
    <col min="12554" max="12800" width="9" style="3"/>
    <col min="12801" max="12801" width="3.625" style="3" bestFit="1" customWidth="1"/>
    <col min="12802" max="12803" width="23.375" style="3" customWidth="1"/>
    <col min="12804" max="12805" width="7.625" style="3" customWidth="1"/>
    <col min="12806" max="12807" width="17.75" style="3" customWidth="1"/>
    <col min="12808" max="12808" width="21.125" style="3" customWidth="1"/>
    <col min="12809" max="12809" width="11.125" style="3" customWidth="1"/>
    <col min="12810" max="13056" width="9" style="3"/>
    <col min="13057" max="13057" width="3.625" style="3" bestFit="1" customWidth="1"/>
    <col min="13058" max="13059" width="23.375" style="3" customWidth="1"/>
    <col min="13060" max="13061" width="7.625" style="3" customWidth="1"/>
    <col min="13062" max="13063" width="17.75" style="3" customWidth="1"/>
    <col min="13064" max="13064" width="21.125" style="3" customWidth="1"/>
    <col min="13065" max="13065" width="11.125" style="3" customWidth="1"/>
    <col min="13066" max="13312" width="9" style="3"/>
    <col min="13313" max="13313" width="3.625" style="3" bestFit="1" customWidth="1"/>
    <col min="13314" max="13315" width="23.375" style="3" customWidth="1"/>
    <col min="13316" max="13317" width="7.625" style="3" customWidth="1"/>
    <col min="13318" max="13319" width="17.75" style="3" customWidth="1"/>
    <col min="13320" max="13320" width="21.125" style="3" customWidth="1"/>
    <col min="13321" max="13321" width="11.125" style="3" customWidth="1"/>
    <col min="13322" max="13568" width="9" style="3"/>
    <col min="13569" max="13569" width="3.625" style="3" bestFit="1" customWidth="1"/>
    <col min="13570" max="13571" width="23.375" style="3" customWidth="1"/>
    <col min="13572" max="13573" width="7.625" style="3" customWidth="1"/>
    <col min="13574" max="13575" width="17.75" style="3" customWidth="1"/>
    <col min="13576" max="13576" width="21.125" style="3" customWidth="1"/>
    <col min="13577" max="13577" width="11.125" style="3" customWidth="1"/>
    <col min="13578" max="13824" width="9" style="3"/>
    <col min="13825" max="13825" width="3.625" style="3" bestFit="1" customWidth="1"/>
    <col min="13826" max="13827" width="23.375" style="3" customWidth="1"/>
    <col min="13828" max="13829" width="7.625" style="3" customWidth="1"/>
    <col min="13830" max="13831" width="17.75" style="3" customWidth="1"/>
    <col min="13832" max="13832" width="21.125" style="3" customWidth="1"/>
    <col min="13833" max="13833" width="11.125" style="3" customWidth="1"/>
    <col min="13834" max="14080" width="9" style="3"/>
    <col min="14081" max="14081" width="3.625" style="3" bestFit="1" customWidth="1"/>
    <col min="14082" max="14083" width="23.375" style="3" customWidth="1"/>
    <col min="14084" max="14085" width="7.625" style="3" customWidth="1"/>
    <col min="14086" max="14087" width="17.75" style="3" customWidth="1"/>
    <col min="14088" max="14088" width="21.125" style="3" customWidth="1"/>
    <col min="14089" max="14089" width="11.125" style="3" customWidth="1"/>
    <col min="14090" max="14336" width="9" style="3"/>
    <col min="14337" max="14337" width="3.625" style="3" bestFit="1" customWidth="1"/>
    <col min="14338" max="14339" width="23.375" style="3" customWidth="1"/>
    <col min="14340" max="14341" width="7.625" style="3" customWidth="1"/>
    <col min="14342" max="14343" width="17.75" style="3" customWidth="1"/>
    <col min="14344" max="14344" width="21.125" style="3" customWidth="1"/>
    <col min="14345" max="14345" width="11.125" style="3" customWidth="1"/>
    <col min="14346" max="14592" width="9" style="3"/>
    <col min="14593" max="14593" width="3.625" style="3" bestFit="1" customWidth="1"/>
    <col min="14594" max="14595" width="23.375" style="3" customWidth="1"/>
    <col min="14596" max="14597" width="7.625" style="3" customWidth="1"/>
    <col min="14598" max="14599" width="17.75" style="3" customWidth="1"/>
    <col min="14600" max="14600" width="21.125" style="3" customWidth="1"/>
    <col min="14601" max="14601" width="11.125" style="3" customWidth="1"/>
    <col min="14602" max="14848" width="9" style="3"/>
    <col min="14849" max="14849" width="3.625" style="3" bestFit="1" customWidth="1"/>
    <col min="14850" max="14851" width="23.375" style="3" customWidth="1"/>
    <col min="14852" max="14853" width="7.625" style="3" customWidth="1"/>
    <col min="14854" max="14855" width="17.75" style="3" customWidth="1"/>
    <col min="14856" max="14856" width="21.125" style="3" customWidth="1"/>
    <col min="14857" max="14857" width="11.125" style="3" customWidth="1"/>
    <col min="14858" max="15104" width="9" style="3"/>
    <col min="15105" max="15105" width="3.625" style="3" bestFit="1" customWidth="1"/>
    <col min="15106" max="15107" width="23.375" style="3" customWidth="1"/>
    <col min="15108" max="15109" width="7.625" style="3" customWidth="1"/>
    <col min="15110" max="15111" width="17.75" style="3" customWidth="1"/>
    <col min="15112" max="15112" width="21.125" style="3" customWidth="1"/>
    <col min="15113" max="15113" width="11.125" style="3" customWidth="1"/>
    <col min="15114" max="15360" width="9" style="3"/>
    <col min="15361" max="15361" width="3.625" style="3" bestFit="1" customWidth="1"/>
    <col min="15362" max="15363" width="23.375" style="3" customWidth="1"/>
    <col min="15364" max="15365" width="7.625" style="3" customWidth="1"/>
    <col min="15366" max="15367" width="17.75" style="3" customWidth="1"/>
    <col min="15368" max="15368" width="21.125" style="3" customWidth="1"/>
    <col min="15369" max="15369" width="11.125" style="3" customWidth="1"/>
    <col min="15370" max="15616" width="9" style="3"/>
    <col min="15617" max="15617" width="3.625" style="3" bestFit="1" customWidth="1"/>
    <col min="15618" max="15619" width="23.375" style="3" customWidth="1"/>
    <col min="15620" max="15621" width="7.625" style="3" customWidth="1"/>
    <col min="15622" max="15623" width="17.75" style="3" customWidth="1"/>
    <col min="15624" max="15624" width="21.125" style="3" customWidth="1"/>
    <col min="15625" max="15625" width="11.125" style="3" customWidth="1"/>
    <col min="15626" max="15872" width="9" style="3"/>
    <col min="15873" max="15873" width="3.625" style="3" bestFit="1" customWidth="1"/>
    <col min="15874" max="15875" width="23.375" style="3" customWidth="1"/>
    <col min="15876" max="15877" width="7.625" style="3" customWidth="1"/>
    <col min="15878" max="15879" width="17.75" style="3" customWidth="1"/>
    <col min="15880" max="15880" width="21.125" style="3" customWidth="1"/>
    <col min="15881" max="15881" width="11.125" style="3" customWidth="1"/>
    <col min="15882" max="16128" width="9" style="3"/>
    <col min="16129" max="16129" width="3.625" style="3" bestFit="1" customWidth="1"/>
    <col min="16130" max="16131" width="23.375" style="3" customWidth="1"/>
    <col min="16132" max="16133" width="7.625" style="3" customWidth="1"/>
    <col min="16134" max="16135" width="17.75" style="3" customWidth="1"/>
    <col min="16136" max="16136" width="21.125" style="3" customWidth="1"/>
    <col min="16137" max="16137" width="11.125" style="3" customWidth="1"/>
    <col min="16138" max="16381" width="9" style="3"/>
    <col min="16382" max="16384" width="9" style="3" customWidth="1"/>
  </cols>
  <sheetData>
    <row r="1" spans="1:19" s="1" customFormat="1" ht="17.25" customHeight="1" x14ac:dyDescent="0.3">
      <c r="A1" s="90" t="s">
        <v>0</v>
      </c>
      <c r="B1" s="90" t="s">
        <v>1</v>
      </c>
      <c r="C1" s="92" t="s">
        <v>2</v>
      </c>
      <c r="D1" s="94" t="s">
        <v>3</v>
      </c>
      <c r="E1" s="92" t="s">
        <v>4</v>
      </c>
      <c r="F1" s="89" t="s">
        <v>24</v>
      </c>
      <c r="G1" s="89"/>
      <c r="H1" s="89" t="s">
        <v>18</v>
      </c>
      <c r="I1" s="89"/>
      <c r="J1" s="89" t="s">
        <v>17</v>
      </c>
      <c r="K1" s="89"/>
      <c r="L1" s="89" t="s">
        <v>20</v>
      </c>
      <c r="M1" s="89"/>
      <c r="N1" s="89" t="s">
        <v>19</v>
      </c>
      <c r="O1" s="89"/>
      <c r="P1" s="97" t="s">
        <v>7</v>
      </c>
    </row>
    <row r="2" spans="1:19" s="1" customFormat="1" ht="17.25" customHeight="1" thickBot="1" x14ac:dyDescent="0.35">
      <c r="A2" s="91"/>
      <c r="B2" s="91"/>
      <c r="C2" s="93"/>
      <c r="D2" s="95"/>
      <c r="E2" s="93"/>
      <c r="F2" s="15" t="s">
        <v>5</v>
      </c>
      <c r="G2" s="15" t="s">
        <v>6</v>
      </c>
      <c r="H2" s="15" t="s">
        <v>5</v>
      </c>
      <c r="I2" s="15" t="s">
        <v>6</v>
      </c>
      <c r="J2" s="15" t="s">
        <v>5</v>
      </c>
      <c r="K2" s="15" t="s">
        <v>6</v>
      </c>
      <c r="L2" s="15" t="s">
        <v>5</v>
      </c>
      <c r="M2" s="15" t="s">
        <v>6</v>
      </c>
      <c r="N2" s="15" t="s">
        <v>5</v>
      </c>
      <c r="O2" s="15" t="s">
        <v>6</v>
      </c>
      <c r="P2" s="98"/>
    </row>
    <row r="3" spans="1:19" ht="30" customHeight="1" thickTop="1" x14ac:dyDescent="0.3">
      <c r="A3" s="57">
        <v>1</v>
      </c>
      <c r="B3" s="58" t="s">
        <v>16</v>
      </c>
      <c r="C3" s="57"/>
      <c r="D3" s="59"/>
      <c r="E3" s="60"/>
      <c r="F3" s="66"/>
      <c r="G3" s="66"/>
      <c r="H3" s="66"/>
      <c r="I3" s="66"/>
      <c r="J3" s="66"/>
      <c r="K3" s="66"/>
      <c r="L3" s="66"/>
      <c r="M3" s="66"/>
      <c r="N3" s="66"/>
      <c r="O3" s="66"/>
      <c r="P3" s="61"/>
      <c r="Q3" s="20"/>
    </row>
    <row r="4" spans="1:19" ht="30" customHeight="1" x14ac:dyDescent="0.3">
      <c r="A4" s="8">
        <v>1</v>
      </c>
      <c r="B4" s="22" t="s">
        <v>15</v>
      </c>
      <c r="C4" s="8" t="s">
        <v>170</v>
      </c>
      <c r="D4" s="47">
        <v>113.8</v>
      </c>
      <c r="E4" s="9" t="s">
        <v>14</v>
      </c>
      <c r="F4" s="10">
        <v>0</v>
      </c>
      <c r="G4" s="63">
        <f t="shared" ref="G4:G9" si="0">F4*D4</f>
        <v>0</v>
      </c>
      <c r="H4" s="10">
        <v>5000</v>
      </c>
      <c r="I4" s="63">
        <f t="shared" ref="I4:I9" si="1">SUM(D4*H4)</f>
        <v>569000</v>
      </c>
      <c r="J4" s="10">
        <v>6000</v>
      </c>
      <c r="K4" s="63">
        <f t="shared" ref="K4:K9" si="2">D4*J4</f>
        <v>682800</v>
      </c>
      <c r="L4" s="10">
        <v>0</v>
      </c>
      <c r="M4" s="63">
        <f t="shared" ref="M4:M9" si="3">D4*L4</f>
        <v>0</v>
      </c>
      <c r="N4" s="10">
        <f t="shared" ref="N4:O9" si="4">H4+J4+L4+F4</f>
        <v>11000</v>
      </c>
      <c r="O4" s="63">
        <f t="shared" si="4"/>
        <v>1251800</v>
      </c>
      <c r="P4" s="19" t="s">
        <v>65</v>
      </c>
      <c r="R4" s="96" t="s">
        <v>47</v>
      </c>
      <c r="S4" s="96"/>
    </row>
    <row r="5" spans="1:19" ht="30" customHeight="1" x14ac:dyDescent="0.3">
      <c r="A5" s="8">
        <v>2</v>
      </c>
      <c r="B5" s="23" t="s">
        <v>34</v>
      </c>
      <c r="C5" s="8" t="s">
        <v>176</v>
      </c>
      <c r="D5" s="47">
        <v>113.8</v>
      </c>
      <c r="E5" s="9" t="s">
        <v>14</v>
      </c>
      <c r="F5" s="10">
        <v>0</v>
      </c>
      <c r="G5" s="63">
        <f t="shared" si="0"/>
        <v>0</v>
      </c>
      <c r="H5" s="67">
        <v>0</v>
      </c>
      <c r="I5" s="63">
        <f t="shared" si="1"/>
        <v>0</v>
      </c>
      <c r="J5" s="10">
        <v>0</v>
      </c>
      <c r="K5" s="63">
        <f t="shared" si="2"/>
        <v>0</v>
      </c>
      <c r="L5" s="10">
        <v>10000</v>
      </c>
      <c r="M5" s="63">
        <f t="shared" si="3"/>
        <v>1138000</v>
      </c>
      <c r="N5" s="10">
        <f t="shared" si="4"/>
        <v>10000</v>
      </c>
      <c r="O5" s="63">
        <f t="shared" si="4"/>
        <v>1138000</v>
      </c>
      <c r="P5" s="19" t="s">
        <v>65</v>
      </c>
      <c r="R5" s="64" t="s">
        <v>42</v>
      </c>
      <c r="S5" s="64">
        <v>44.1</v>
      </c>
    </row>
    <row r="6" spans="1:19" ht="30" customHeight="1" x14ac:dyDescent="0.3">
      <c r="A6" s="8">
        <v>3</v>
      </c>
      <c r="B6" s="23" t="s">
        <v>35</v>
      </c>
      <c r="C6" s="8" t="s">
        <v>9</v>
      </c>
      <c r="D6" s="47">
        <v>113.8</v>
      </c>
      <c r="E6" s="9" t="s">
        <v>14</v>
      </c>
      <c r="F6" s="10">
        <v>0</v>
      </c>
      <c r="G6" s="63">
        <f t="shared" si="0"/>
        <v>0</v>
      </c>
      <c r="H6" s="67">
        <v>0</v>
      </c>
      <c r="I6" s="63">
        <f t="shared" si="1"/>
        <v>0</v>
      </c>
      <c r="J6" s="10">
        <v>6000</v>
      </c>
      <c r="K6" s="63">
        <f t="shared" si="2"/>
        <v>682800</v>
      </c>
      <c r="L6" s="10">
        <v>0</v>
      </c>
      <c r="M6" s="63">
        <f t="shared" si="3"/>
        <v>0</v>
      </c>
      <c r="N6" s="10">
        <f t="shared" si="4"/>
        <v>6000</v>
      </c>
      <c r="O6" s="63">
        <f t="shared" si="4"/>
        <v>682800</v>
      </c>
      <c r="P6" s="19" t="s">
        <v>65</v>
      </c>
      <c r="R6" s="64" t="s">
        <v>41</v>
      </c>
      <c r="S6" s="64">
        <v>19.579999999999998</v>
      </c>
    </row>
    <row r="7" spans="1:19" ht="30" customHeight="1" x14ac:dyDescent="0.3">
      <c r="A7" s="8">
        <v>4</v>
      </c>
      <c r="B7" s="22" t="s">
        <v>36</v>
      </c>
      <c r="C7" s="8" t="s">
        <v>9</v>
      </c>
      <c r="D7" s="47">
        <v>1</v>
      </c>
      <c r="E7" s="9" t="s">
        <v>13</v>
      </c>
      <c r="F7" s="10">
        <v>0</v>
      </c>
      <c r="G7" s="63">
        <f t="shared" si="0"/>
        <v>0</v>
      </c>
      <c r="H7" s="10">
        <v>0</v>
      </c>
      <c r="I7" s="63">
        <f t="shared" si="1"/>
        <v>0</v>
      </c>
      <c r="J7" s="10">
        <v>0</v>
      </c>
      <c r="K7" s="63">
        <f t="shared" si="2"/>
        <v>0</v>
      </c>
      <c r="L7" s="10">
        <v>0</v>
      </c>
      <c r="M7" s="63">
        <f t="shared" si="3"/>
        <v>0</v>
      </c>
      <c r="N7" s="10">
        <f t="shared" si="4"/>
        <v>0</v>
      </c>
      <c r="O7" s="63">
        <f t="shared" si="4"/>
        <v>0</v>
      </c>
      <c r="P7" s="19" t="s">
        <v>150</v>
      </c>
      <c r="R7" s="64"/>
      <c r="S7" s="64"/>
    </row>
    <row r="8" spans="1:19" ht="30" customHeight="1" x14ac:dyDescent="0.3">
      <c r="A8" s="8">
        <v>5</v>
      </c>
      <c r="B8" s="22" t="s">
        <v>73</v>
      </c>
      <c r="C8" s="8"/>
      <c r="D8" s="47">
        <v>5</v>
      </c>
      <c r="E8" s="9" t="s">
        <v>74</v>
      </c>
      <c r="F8" s="10">
        <v>0</v>
      </c>
      <c r="G8" s="63">
        <f>F8*D8</f>
        <v>0</v>
      </c>
      <c r="H8" s="10">
        <v>0</v>
      </c>
      <c r="I8" s="63">
        <f>SUM(D8*H8)</f>
        <v>0</v>
      </c>
      <c r="J8" s="10">
        <v>0</v>
      </c>
      <c r="K8" s="63">
        <f>D8*J8</f>
        <v>0</v>
      </c>
      <c r="L8" s="10">
        <v>0</v>
      </c>
      <c r="M8" s="63">
        <f>D8*L8</f>
        <v>0</v>
      </c>
      <c r="N8" s="10">
        <f>H8+J8+L8+F8</f>
        <v>0</v>
      </c>
      <c r="O8" s="63">
        <f>I8+K8+M8+G8</f>
        <v>0</v>
      </c>
      <c r="P8" s="19" t="s">
        <v>65</v>
      </c>
      <c r="R8" s="64"/>
      <c r="S8" s="64"/>
    </row>
    <row r="9" spans="1:19" ht="30" customHeight="1" x14ac:dyDescent="0.3">
      <c r="A9" s="8">
        <v>6</v>
      </c>
      <c r="B9" s="22" t="s">
        <v>12</v>
      </c>
      <c r="C9" s="8" t="s">
        <v>9</v>
      </c>
      <c r="D9" s="47">
        <v>113.8</v>
      </c>
      <c r="E9" s="9" t="s">
        <v>14</v>
      </c>
      <c r="F9" s="10">
        <v>0</v>
      </c>
      <c r="G9" s="63">
        <f t="shared" si="0"/>
        <v>0</v>
      </c>
      <c r="H9" s="10">
        <v>1000</v>
      </c>
      <c r="I9" s="63">
        <f t="shared" si="1"/>
        <v>113800</v>
      </c>
      <c r="J9" s="10">
        <v>13000</v>
      </c>
      <c r="K9" s="63">
        <f t="shared" si="2"/>
        <v>1479400</v>
      </c>
      <c r="L9" s="71">
        <v>0</v>
      </c>
      <c r="M9" s="63">
        <f t="shared" si="3"/>
        <v>0</v>
      </c>
      <c r="N9" s="10">
        <f t="shared" si="4"/>
        <v>14000</v>
      </c>
      <c r="O9" s="63">
        <f t="shared" si="4"/>
        <v>1593200</v>
      </c>
      <c r="P9" s="2" t="s">
        <v>151</v>
      </c>
      <c r="R9" s="20"/>
      <c r="S9" s="20"/>
    </row>
    <row r="10" spans="1:19" ht="30" customHeight="1" x14ac:dyDescent="0.3">
      <c r="A10" s="32"/>
      <c r="B10" s="32" t="s">
        <v>8</v>
      </c>
      <c r="C10" s="32"/>
      <c r="D10" s="51"/>
      <c r="E10" s="33"/>
      <c r="F10" s="34"/>
      <c r="G10" s="34">
        <f>SUM(G4:G9)</f>
        <v>0</v>
      </c>
      <c r="H10" s="34"/>
      <c r="I10" s="34">
        <f>SUM(I4:I9)</f>
        <v>682800</v>
      </c>
      <c r="J10" s="34"/>
      <c r="K10" s="34">
        <f>SUM(K4:K9)</f>
        <v>2845000</v>
      </c>
      <c r="L10" s="34"/>
      <c r="M10" s="34">
        <f>SUM(M4:M9)</f>
        <v>1138000</v>
      </c>
      <c r="N10" s="34"/>
      <c r="O10" s="34">
        <f>SUM(O3:O9)</f>
        <v>4665800</v>
      </c>
      <c r="P10" s="32"/>
      <c r="Q10" s="20"/>
    </row>
    <row r="11" spans="1:19" ht="30" customHeight="1" x14ac:dyDescent="0.3">
      <c r="A11" s="8"/>
      <c r="B11" s="22"/>
      <c r="C11" s="8"/>
      <c r="D11" s="47"/>
      <c r="E11" s="9"/>
      <c r="F11" s="10"/>
      <c r="G11" s="63"/>
      <c r="H11" s="10"/>
      <c r="I11" s="63"/>
      <c r="J11" s="10"/>
      <c r="K11" s="63"/>
      <c r="L11" s="10"/>
      <c r="M11" s="63"/>
      <c r="N11" s="10"/>
      <c r="O11" s="63"/>
      <c r="P11" s="40"/>
    </row>
    <row r="12" spans="1:19" ht="30" customHeight="1" x14ac:dyDescent="0.3">
      <c r="A12" s="27">
        <v>2</v>
      </c>
      <c r="B12" s="28" t="s">
        <v>23</v>
      </c>
      <c r="C12" s="27"/>
      <c r="D12" s="52"/>
      <c r="E12" s="29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73"/>
    </row>
    <row r="13" spans="1:19" ht="30" customHeight="1" x14ac:dyDescent="0.3">
      <c r="A13" s="8">
        <v>1</v>
      </c>
      <c r="B13" s="22" t="s">
        <v>32</v>
      </c>
      <c r="C13" s="8" t="s">
        <v>9</v>
      </c>
      <c r="D13" s="47">
        <v>1</v>
      </c>
      <c r="E13" s="9" t="s">
        <v>183</v>
      </c>
      <c r="F13" s="10">
        <v>7300000</v>
      </c>
      <c r="G13" s="63">
        <f>F13*D13</f>
        <v>7300000</v>
      </c>
      <c r="H13" s="10">
        <v>0</v>
      </c>
      <c r="I13" s="63">
        <f>SUM(D13*H13)</f>
        <v>0</v>
      </c>
      <c r="J13" s="10">
        <v>0</v>
      </c>
      <c r="K13" s="63">
        <f>D13*J13</f>
        <v>0</v>
      </c>
      <c r="L13" s="10">
        <v>0</v>
      </c>
      <c r="M13" s="63">
        <f>D13*L13</f>
        <v>0</v>
      </c>
      <c r="N13" s="10">
        <f>H13+J13+L13+F13</f>
        <v>7300000</v>
      </c>
      <c r="O13" s="63">
        <f>I13+K13+M13+G13</f>
        <v>7300000</v>
      </c>
      <c r="P13" s="41"/>
    </row>
    <row r="14" spans="1:19" ht="30" customHeight="1" x14ac:dyDescent="0.3">
      <c r="A14" s="8">
        <v>2</v>
      </c>
      <c r="B14" s="22" t="s">
        <v>30</v>
      </c>
      <c r="C14" s="8" t="s">
        <v>76</v>
      </c>
      <c r="D14" s="47">
        <v>0</v>
      </c>
      <c r="E14" s="9" t="s">
        <v>13</v>
      </c>
      <c r="F14" s="10">
        <v>0</v>
      </c>
      <c r="G14" s="63">
        <f>F14*D14</f>
        <v>0</v>
      </c>
      <c r="H14" s="10">
        <v>0</v>
      </c>
      <c r="I14" s="63">
        <f>SUM(D14*H14)</f>
        <v>0</v>
      </c>
      <c r="J14" s="10">
        <v>0</v>
      </c>
      <c r="K14" s="63">
        <f>D14*J14</f>
        <v>0</v>
      </c>
      <c r="L14" s="10">
        <v>0</v>
      </c>
      <c r="M14" s="63">
        <f>D14*L14</f>
        <v>0</v>
      </c>
      <c r="N14" s="10">
        <f>H14+J14+L14+F14</f>
        <v>0</v>
      </c>
      <c r="O14" s="63">
        <f>I14+K14+M14+G14</f>
        <v>0</v>
      </c>
      <c r="P14" s="73" t="s">
        <v>182</v>
      </c>
    </row>
    <row r="15" spans="1:19" ht="30" customHeight="1" x14ac:dyDescent="0.3">
      <c r="A15" s="8"/>
      <c r="B15" s="28" t="s">
        <v>184</v>
      </c>
      <c r="C15" s="8"/>
      <c r="D15" s="47"/>
      <c r="E15" s="9"/>
      <c r="F15" s="10"/>
      <c r="G15" s="63"/>
      <c r="H15" s="10"/>
      <c r="I15" s="63"/>
      <c r="J15" s="10"/>
      <c r="K15" s="63"/>
      <c r="L15" s="10"/>
      <c r="M15" s="63"/>
      <c r="N15" s="10"/>
      <c r="O15" s="63"/>
      <c r="P15" s="42"/>
    </row>
    <row r="16" spans="1:19" ht="30" customHeight="1" x14ac:dyDescent="0.3">
      <c r="A16" s="27"/>
      <c r="B16" s="27"/>
      <c r="C16" s="27"/>
      <c r="D16" s="52"/>
      <c r="E16" s="29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"/>
    </row>
    <row r="17" spans="1:16" ht="30" customHeight="1" x14ac:dyDescent="0.3">
      <c r="A17" s="44"/>
      <c r="B17" s="33" t="s">
        <v>8</v>
      </c>
      <c r="C17" s="44"/>
      <c r="D17" s="53"/>
      <c r="E17" s="45"/>
      <c r="F17" s="69"/>
      <c r="G17" s="62">
        <f>SUM(G11:G16)</f>
        <v>7300000</v>
      </c>
      <c r="H17" s="69"/>
      <c r="I17" s="62">
        <f>SUM(I11:I16)</f>
        <v>0</v>
      </c>
      <c r="J17" s="69"/>
      <c r="K17" s="62">
        <f>SUM(K11:K16)</f>
        <v>0</v>
      </c>
      <c r="L17" s="69"/>
      <c r="M17" s="62">
        <f>SUM(M11:M16)</f>
        <v>0</v>
      </c>
      <c r="N17" s="69"/>
      <c r="O17" s="62">
        <f>SUM(O11:O16)</f>
        <v>7300000</v>
      </c>
      <c r="P17" s="32"/>
    </row>
    <row r="18" spans="1:16" ht="30" customHeight="1" x14ac:dyDescent="0.3">
      <c r="A18" s="24"/>
      <c r="B18" s="25"/>
      <c r="C18" s="8"/>
      <c r="D18" s="47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6"/>
    </row>
    <row r="19" spans="1:16" ht="30" customHeight="1" x14ac:dyDescent="0.3">
      <c r="A19" s="27">
        <v>3</v>
      </c>
      <c r="B19" s="28" t="s">
        <v>37</v>
      </c>
      <c r="C19" s="8"/>
      <c r="D19" s="52"/>
      <c r="E19" s="29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30"/>
    </row>
    <row r="20" spans="1:16" ht="30" customHeight="1" x14ac:dyDescent="0.3">
      <c r="A20" s="8">
        <v>1</v>
      </c>
      <c r="B20" s="22" t="s">
        <v>152</v>
      </c>
      <c r="C20" s="8" t="s">
        <v>9</v>
      </c>
      <c r="D20" s="47">
        <v>1</v>
      </c>
      <c r="E20" s="9" t="s">
        <v>153</v>
      </c>
      <c r="F20" s="10">
        <v>0</v>
      </c>
      <c r="G20" s="63">
        <f t="shared" ref="G20:G27" si="5">F20*D20</f>
        <v>0</v>
      </c>
      <c r="H20" s="10">
        <v>480000</v>
      </c>
      <c r="I20" s="63">
        <f t="shared" ref="I20:I27" si="6">SUM(D20*H20)</f>
        <v>480000</v>
      </c>
      <c r="J20" s="10">
        <v>0</v>
      </c>
      <c r="K20" s="63">
        <f t="shared" ref="K20:K27" si="7">D20*J20</f>
        <v>0</v>
      </c>
      <c r="L20" s="10">
        <v>0</v>
      </c>
      <c r="M20" s="63">
        <f t="shared" ref="M20:M27" si="8">D20*L20</f>
        <v>0</v>
      </c>
      <c r="N20" s="10">
        <f t="shared" ref="N20:O27" si="9">H20+J20+L20+F20</f>
        <v>480000</v>
      </c>
      <c r="O20" s="63">
        <f t="shared" si="9"/>
        <v>480000</v>
      </c>
      <c r="P20" s="19" t="s">
        <v>48</v>
      </c>
    </row>
    <row r="21" spans="1:16" ht="30" customHeight="1" x14ac:dyDescent="0.3">
      <c r="A21" s="8">
        <v>2</v>
      </c>
      <c r="B21" s="22" t="s">
        <v>154</v>
      </c>
      <c r="C21" s="8" t="s">
        <v>155</v>
      </c>
      <c r="D21" s="47">
        <v>1</v>
      </c>
      <c r="E21" s="9" t="s">
        <v>153</v>
      </c>
      <c r="F21" s="10">
        <v>0</v>
      </c>
      <c r="G21" s="63">
        <f>F21*D21</f>
        <v>0</v>
      </c>
      <c r="H21" s="10">
        <v>450000</v>
      </c>
      <c r="I21" s="63">
        <f>SUM(D21*H21)</f>
        <v>450000</v>
      </c>
      <c r="J21" s="10">
        <v>0</v>
      </c>
      <c r="K21" s="63">
        <f>D21*J21</f>
        <v>0</v>
      </c>
      <c r="L21" s="10">
        <v>0</v>
      </c>
      <c r="M21" s="63">
        <f>D21*L21</f>
        <v>0</v>
      </c>
      <c r="N21" s="10">
        <f>H21+J21+L21+F21</f>
        <v>450000</v>
      </c>
      <c r="O21" s="63">
        <f>I21+K21+M21+G21</f>
        <v>450000</v>
      </c>
      <c r="P21" s="19"/>
    </row>
    <row r="22" spans="1:16" ht="30" customHeight="1" x14ac:dyDescent="0.3">
      <c r="A22" s="8">
        <v>3</v>
      </c>
      <c r="B22" s="22" t="s">
        <v>43</v>
      </c>
      <c r="C22" s="8" t="s">
        <v>49</v>
      </c>
      <c r="D22" s="47">
        <v>3</v>
      </c>
      <c r="E22" s="9" t="s">
        <v>13</v>
      </c>
      <c r="F22" s="10">
        <v>0</v>
      </c>
      <c r="G22" s="63">
        <f t="shared" si="5"/>
        <v>0</v>
      </c>
      <c r="H22" s="10">
        <v>120000</v>
      </c>
      <c r="I22" s="63">
        <f t="shared" si="6"/>
        <v>360000</v>
      </c>
      <c r="J22" s="10">
        <v>0</v>
      </c>
      <c r="K22" s="63">
        <f t="shared" si="7"/>
        <v>0</v>
      </c>
      <c r="L22" s="10">
        <v>0</v>
      </c>
      <c r="M22" s="63">
        <f t="shared" si="8"/>
        <v>0</v>
      </c>
      <c r="N22" s="10">
        <f t="shared" si="9"/>
        <v>120000</v>
      </c>
      <c r="O22" s="63">
        <f t="shared" si="9"/>
        <v>360000</v>
      </c>
      <c r="P22" s="19"/>
    </row>
    <row r="23" spans="1:16" ht="30" customHeight="1" x14ac:dyDescent="0.3">
      <c r="A23" s="8">
        <v>4</v>
      </c>
      <c r="B23" s="22" t="s">
        <v>44</v>
      </c>
      <c r="C23" s="8" t="s">
        <v>45</v>
      </c>
      <c r="D23" s="47">
        <v>1</v>
      </c>
      <c r="E23" s="9" t="s">
        <v>11</v>
      </c>
      <c r="F23" s="10">
        <v>0</v>
      </c>
      <c r="G23" s="63">
        <f t="shared" si="5"/>
        <v>0</v>
      </c>
      <c r="H23" s="10">
        <v>450000</v>
      </c>
      <c r="I23" s="63">
        <f t="shared" si="6"/>
        <v>450000</v>
      </c>
      <c r="J23" s="10">
        <v>0</v>
      </c>
      <c r="K23" s="63">
        <f t="shared" si="7"/>
        <v>0</v>
      </c>
      <c r="L23" s="10">
        <v>0</v>
      </c>
      <c r="M23" s="63">
        <f t="shared" si="8"/>
        <v>0</v>
      </c>
      <c r="N23" s="10">
        <f t="shared" si="9"/>
        <v>450000</v>
      </c>
      <c r="O23" s="63">
        <f t="shared" si="9"/>
        <v>450000</v>
      </c>
      <c r="P23" s="19"/>
    </row>
    <row r="24" spans="1:16" ht="30" customHeight="1" x14ac:dyDescent="0.3">
      <c r="A24" s="8">
        <v>5</v>
      </c>
      <c r="B24" s="22" t="s">
        <v>50</v>
      </c>
      <c r="C24" s="8" t="s">
        <v>9</v>
      </c>
      <c r="D24" s="47">
        <v>3</v>
      </c>
      <c r="E24" s="9" t="s">
        <v>157</v>
      </c>
      <c r="F24" s="10">
        <v>0</v>
      </c>
      <c r="G24" s="63">
        <f t="shared" si="5"/>
        <v>0</v>
      </c>
      <c r="H24" s="10">
        <v>0</v>
      </c>
      <c r="I24" s="63">
        <f t="shared" si="6"/>
        <v>0</v>
      </c>
      <c r="J24" s="10">
        <v>300000</v>
      </c>
      <c r="K24" s="63">
        <f t="shared" si="7"/>
        <v>900000</v>
      </c>
      <c r="L24" s="10">
        <v>0</v>
      </c>
      <c r="M24" s="63">
        <f t="shared" si="8"/>
        <v>0</v>
      </c>
      <c r="N24" s="10">
        <f t="shared" si="9"/>
        <v>300000</v>
      </c>
      <c r="O24" s="63">
        <f t="shared" si="9"/>
        <v>900000</v>
      </c>
      <c r="P24" s="19"/>
    </row>
    <row r="25" spans="1:16" ht="30" customHeight="1" x14ac:dyDescent="0.3">
      <c r="A25" s="8">
        <v>6</v>
      </c>
      <c r="B25" s="22" t="s">
        <v>156</v>
      </c>
      <c r="C25" s="8"/>
      <c r="D25" s="47">
        <v>1</v>
      </c>
      <c r="E25" s="9" t="s">
        <v>158</v>
      </c>
      <c r="F25" s="10">
        <v>0</v>
      </c>
      <c r="G25" s="63">
        <f>F25*D25</f>
        <v>0</v>
      </c>
      <c r="H25" s="10">
        <v>0</v>
      </c>
      <c r="I25" s="63">
        <f>SUM(D25*H25)</f>
        <v>0</v>
      </c>
      <c r="J25" s="10">
        <v>250000</v>
      </c>
      <c r="K25" s="63">
        <f t="shared" si="7"/>
        <v>250000</v>
      </c>
      <c r="L25" s="10">
        <v>0</v>
      </c>
      <c r="M25" s="63">
        <f>D25*L25</f>
        <v>0</v>
      </c>
      <c r="N25" s="10">
        <f>H25+J25+L25+F25</f>
        <v>250000</v>
      </c>
      <c r="O25" s="63">
        <f>I25+K25+M25+G25</f>
        <v>250000</v>
      </c>
      <c r="P25" s="19"/>
    </row>
    <row r="26" spans="1:16" ht="30" customHeight="1" x14ac:dyDescent="0.3">
      <c r="A26" s="8">
        <v>7</v>
      </c>
      <c r="B26" s="22" t="s">
        <v>160</v>
      </c>
      <c r="C26" s="8"/>
      <c r="D26" s="47">
        <v>1</v>
      </c>
      <c r="E26" s="9" t="s">
        <v>153</v>
      </c>
      <c r="F26" s="10">
        <v>0</v>
      </c>
      <c r="G26" s="63">
        <f>F26*D26</f>
        <v>0</v>
      </c>
      <c r="H26" s="10">
        <v>0</v>
      </c>
      <c r="I26" s="63">
        <f>SUM(D26*H26)</f>
        <v>0</v>
      </c>
      <c r="J26" s="10">
        <v>150000</v>
      </c>
      <c r="K26" s="63">
        <f>D26*J26</f>
        <v>150000</v>
      </c>
      <c r="L26" s="10">
        <v>0</v>
      </c>
      <c r="M26" s="63">
        <f>D26*L26</f>
        <v>0</v>
      </c>
      <c r="N26" s="10">
        <f>H26+J26+L26+F26</f>
        <v>150000</v>
      </c>
      <c r="O26" s="63">
        <f>I26+K26+M26+G26</f>
        <v>150000</v>
      </c>
      <c r="P26" s="19"/>
    </row>
    <row r="27" spans="1:16" ht="30" customHeight="1" x14ac:dyDescent="0.3">
      <c r="A27" s="8">
        <v>8</v>
      </c>
      <c r="B27" s="22" t="s">
        <v>159</v>
      </c>
      <c r="C27" s="8"/>
      <c r="D27" s="47">
        <v>1</v>
      </c>
      <c r="E27" s="9" t="s">
        <v>10</v>
      </c>
      <c r="F27" s="10">
        <v>0</v>
      </c>
      <c r="G27" s="63">
        <f t="shared" si="5"/>
        <v>0</v>
      </c>
      <c r="H27" s="10">
        <v>0</v>
      </c>
      <c r="I27" s="63">
        <f t="shared" si="6"/>
        <v>0</v>
      </c>
      <c r="J27" s="10">
        <v>0</v>
      </c>
      <c r="K27" s="63">
        <f t="shared" si="7"/>
        <v>0</v>
      </c>
      <c r="L27" s="10">
        <v>100000</v>
      </c>
      <c r="M27" s="63">
        <f t="shared" si="8"/>
        <v>100000</v>
      </c>
      <c r="N27" s="10">
        <f t="shared" si="9"/>
        <v>100000</v>
      </c>
      <c r="O27" s="63">
        <f t="shared" si="9"/>
        <v>100000</v>
      </c>
      <c r="P27" s="30"/>
    </row>
    <row r="28" spans="1:16" ht="30" customHeight="1" x14ac:dyDescent="0.3">
      <c r="A28" s="27"/>
      <c r="B28" s="27"/>
      <c r="C28" s="27"/>
      <c r="D28" s="52"/>
      <c r="E28" s="29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"/>
    </row>
    <row r="29" spans="1:16" ht="30" customHeight="1" x14ac:dyDescent="0.3">
      <c r="A29" s="32"/>
      <c r="B29" s="32" t="s">
        <v>8</v>
      </c>
      <c r="C29" s="32"/>
      <c r="D29" s="51"/>
      <c r="E29" s="33"/>
      <c r="F29" s="34"/>
      <c r="G29" s="34">
        <f>SUM(G20:G28)</f>
        <v>0</v>
      </c>
      <c r="H29" s="34"/>
      <c r="I29" s="34">
        <f>SUM(I18:I28)</f>
        <v>1740000</v>
      </c>
      <c r="J29" s="34"/>
      <c r="K29" s="34">
        <f>SUM(K18:K28)</f>
        <v>1300000</v>
      </c>
      <c r="L29" s="34"/>
      <c r="M29" s="34">
        <f>SUM(M18:M28)</f>
        <v>100000</v>
      </c>
      <c r="N29" s="34"/>
      <c r="O29" s="34">
        <f>SUM(O18:O28)</f>
        <v>3140000</v>
      </c>
      <c r="P29" s="33"/>
    </row>
    <row r="30" spans="1:16" ht="30" customHeight="1" x14ac:dyDescent="0.3">
      <c r="A30" s="24"/>
      <c r="B30" s="25"/>
      <c r="C30" s="8"/>
      <c r="D30" s="47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6"/>
    </row>
    <row r="31" spans="1:16" ht="30" customHeight="1" x14ac:dyDescent="0.3">
      <c r="A31" s="27">
        <v>4</v>
      </c>
      <c r="B31" s="28" t="s">
        <v>38</v>
      </c>
      <c r="C31" s="8"/>
      <c r="D31" s="52"/>
      <c r="E31" s="2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27" t="s">
        <v>171</v>
      </c>
    </row>
    <row r="32" spans="1:16" ht="30" customHeight="1" x14ac:dyDescent="0.3">
      <c r="A32" s="8">
        <v>1</v>
      </c>
      <c r="B32" s="22" t="s">
        <v>164</v>
      </c>
      <c r="C32" s="8"/>
      <c r="D32" s="54">
        <v>3</v>
      </c>
      <c r="E32" s="9" t="s">
        <v>165</v>
      </c>
      <c r="F32" s="10">
        <v>0</v>
      </c>
      <c r="G32" s="63">
        <f>F32*D32</f>
        <v>0</v>
      </c>
      <c r="H32" s="10">
        <v>0</v>
      </c>
      <c r="I32" s="63">
        <f>SUM(D32*H32)</f>
        <v>0</v>
      </c>
      <c r="J32" s="10">
        <v>380000</v>
      </c>
      <c r="K32" s="63">
        <f>D32*J32</f>
        <v>1140000</v>
      </c>
      <c r="L32" s="10">
        <v>0</v>
      </c>
      <c r="M32" s="63">
        <f>D32*L32</f>
        <v>0</v>
      </c>
      <c r="N32" s="10">
        <f t="shared" ref="N32:O36" si="10">H32+J32+L32+F32</f>
        <v>380000</v>
      </c>
      <c r="O32" s="63">
        <f t="shared" si="10"/>
        <v>1140000</v>
      </c>
      <c r="P32" s="29" t="s">
        <v>172</v>
      </c>
    </row>
    <row r="33" spans="1:16" ht="30" customHeight="1" x14ac:dyDescent="0.3">
      <c r="A33" s="8">
        <v>2</v>
      </c>
      <c r="B33" s="22" t="s">
        <v>166</v>
      </c>
      <c r="C33" s="8"/>
      <c r="D33" s="47">
        <v>3</v>
      </c>
      <c r="E33" s="9" t="s">
        <v>158</v>
      </c>
      <c r="F33" s="10">
        <v>0</v>
      </c>
      <c r="G33" s="63">
        <f>F33*D33</f>
        <v>0</v>
      </c>
      <c r="H33" s="10">
        <v>0</v>
      </c>
      <c r="I33" s="63">
        <f>SUM(D33*H33)</f>
        <v>0</v>
      </c>
      <c r="J33" s="10">
        <v>200000</v>
      </c>
      <c r="K33" s="63">
        <f>D33*J33</f>
        <v>600000</v>
      </c>
      <c r="L33" s="10">
        <v>0</v>
      </c>
      <c r="M33" s="63">
        <f>D33*L33</f>
        <v>0</v>
      </c>
      <c r="N33" s="10">
        <f t="shared" si="10"/>
        <v>200000</v>
      </c>
      <c r="O33" s="63">
        <f t="shared" si="10"/>
        <v>600000</v>
      </c>
      <c r="P33" s="29" t="s">
        <v>174</v>
      </c>
    </row>
    <row r="34" spans="1:16" ht="30" customHeight="1" x14ac:dyDescent="0.3">
      <c r="A34" s="8">
        <v>3</v>
      </c>
      <c r="B34" s="22" t="s">
        <v>167</v>
      </c>
      <c r="C34" s="8"/>
      <c r="D34" s="47">
        <v>1</v>
      </c>
      <c r="E34" s="9" t="s">
        <v>168</v>
      </c>
      <c r="F34" s="10">
        <v>0</v>
      </c>
      <c r="G34" s="63">
        <f>F34*D34</f>
        <v>0</v>
      </c>
      <c r="H34" s="10">
        <v>0</v>
      </c>
      <c r="I34" s="63">
        <f>SUM(D34*H34)</f>
        <v>0</v>
      </c>
      <c r="J34" s="10">
        <v>200000</v>
      </c>
      <c r="K34" s="63">
        <f>D34*J34</f>
        <v>200000</v>
      </c>
      <c r="L34" s="10">
        <v>0</v>
      </c>
      <c r="M34" s="63">
        <f>D34*L34</f>
        <v>0</v>
      </c>
      <c r="N34" s="10">
        <f t="shared" si="10"/>
        <v>200000</v>
      </c>
      <c r="O34" s="63">
        <f t="shared" si="10"/>
        <v>200000</v>
      </c>
      <c r="P34" s="27" t="s">
        <v>175</v>
      </c>
    </row>
    <row r="35" spans="1:16" ht="30" customHeight="1" x14ac:dyDescent="0.3">
      <c r="A35" s="8">
        <v>4</v>
      </c>
      <c r="B35" s="22" t="s">
        <v>169</v>
      </c>
      <c r="C35" s="8"/>
      <c r="D35" s="47">
        <v>1</v>
      </c>
      <c r="E35" s="9" t="s">
        <v>168</v>
      </c>
      <c r="F35" s="10">
        <v>0</v>
      </c>
      <c r="G35" s="63">
        <f>F35*D35</f>
        <v>0</v>
      </c>
      <c r="H35" s="10">
        <v>0</v>
      </c>
      <c r="I35" s="63">
        <f>SUM(D35*H35)</f>
        <v>0</v>
      </c>
      <c r="J35" s="10">
        <v>200000</v>
      </c>
      <c r="K35" s="63">
        <f>D35*J35</f>
        <v>200000</v>
      </c>
      <c r="L35" s="10">
        <v>0</v>
      </c>
      <c r="M35" s="63">
        <f>D35*L35</f>
        <v>0</v>
      </c>
      <c r="N35" s="10">
        <f t="shared" si="10"/>
        <v>200000</v>
      </c>
      <c r="O35" s="63">
        <f t="shared" si="10"/>
        <v>200000</v>
      </c>
      <c r="P35" s="29" t="s">
        <v>173</v>
      </c>
    </row>
    <row r="36" spans="1:16" ht="30" customHeight="1" x14ac:dyDescent="0.3">
      <c r="A36" s="8">
        <v>5</v>
      </c>
      <c r="B36" s="22" t="s">
        <v>161</v>
      </c>
      <c r="C36" s="8" t="s">
        <v>9</v>
      </c>
      <c r="D36" s="54">
        <v>1</v>
      </c>
      <c r="E36" s="9" t="s">
        <v>162</v>
      </c>
      <c r="F36" s="10">
        <v>2300000</v>
      </c>
      <c r="G36" s="63">
        <f>F36*D36</f>
        <v>2300000</v>
      </c>
      <c r="H36" s="10">
        <v>15000</v>
      </c>
      <c r="I36" s="63">
        <f>SUM(D36*H36)</f>
        <v>15000</v>
      </c>
      <c r="J36" s="10">
        <v>100000</v>
      </c>
      <c r="K36" s="63">
        <f>D36*J36</f>
        <v>100000</v>
      </c>
      <c r="L36" s="10">
        <v>0</v>
      </c>
      <c r="M36" s="63">
        <f>D36*L36</f>
        <v>0</v>
      </c>
      <c r="N36" s="10">
        <f t="shared" si="10"/>
        <v>2415000</v>
      </c>
      <c r="O36" s="63">
        <f t="shared" si="10"/>
        <v>2415000</v>
      </c>
      <c r="P36" s="19" t="s">
        <v>163</v>
      </c>
    </row>
    <row r="37" spans="1:16" ht="30" customHeight="1" x14ac:dyDescent="0.3">
      <c r="A37" s="11"/>
      <c r="B37" s="25"/>
      <c r="C37" s="8"/>
      <c r="D37" s="47"/>
      <c r="E37" s="9"/>
      <c r="F37" s="10"/>
      <c r="G37" s="10"/>
      <c r="H37" s="10"/>
      <c r="I37" s="63"/>
      <c r="J37" s="10"/>
      <c r="K37" s="10"/>
      <c r="L37" s="10"/>
      <c r="M37" s="10"/>
      <c r="N37" s="10"/>
      <c r="O37" s="10"/>
      <c r="P37" s="31"/>
    </row>
    <row r="38" spans="1:16" ht="30" customHeight="1" x14ac:dyDescent="0.3">
      <c r="A38" s="32"/>
      <c r="B38" s="32" t="s">
        <v>8</v>
      </c>
      <c r="C38" s="32"/>
      <c r="D38" s="51"/>
      <c r="E38" s="33"/>
      <c r="F38" s="34"/>
      <c r="G38" s="34">
        <f>SUM(G30:G37)</f>
        <v>2300000</v>
      </c>
      <c r="H38" s="34"/>
      <c r="I38" s="34">
        <f>SUM(I30:I37)</f>
        <v>15000</v>
      </c>
      <c r="J38" s="34"/>
      <c r="K38" s="34">
        <f>SUM(K30:K37)</f>
        <v>2240000</v>
      </c>
      <c r="L38" s="34"/>
      <c r="M38" s="34">
        <f>SUM(M30:M37)</f>
        <v>0</v>
      </c>
      <c r="N38" s="34"/>
      <c r="O38" s="34">
        <f>SUM(O30:O37)</f>
        <v>4555000</v>
      </c>
      <c r="P38" s="33"/>
    </row>
    <row r="39" spans="1:16" ht="30" customHeight="1" x14ac:dyDescent="0.3">
      <c r="A39" s="27"/>
      <c r="B39" s="27"/>
      <c r="C39" s="27"/>
      <c r="D39" s="52"/>
      <c r="E39" s="29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7"/>
    </row>
    <row r="40" spans="1:16" ht="30" customHeight="1" x14ac:dyDescent="0.3">
      <c r="A40" s="27">
        <v>5</v>
      </c>
      <c r="B40" s="28" t="s">
        <v>21</v>
      </c>
      <c r="C40" s="27"/>
      <c r="D40" s="52"/>
      <c r="E40" s="29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27"/>
    </row>
    <row r="41" spans="1:16" ht="30" customHeight="1" x14ac:dyDescent="0.3">
      <c r="A41" s="8">
        <v>1</v>
      </c>
      <c r="B41" s="22" t="s">
        <v>39</v>
      </c>
      <c r="C41" s="8" t="s">
        <v>9</v>
      </c>
      <c r="D41" s="47">
        <v>1</v>
      </c>
      <c r="E41" s="9" t="s">
        <v>10</v>
      </c>
      <c r="F41" s="10">
        <v>0</v>
      </c>
      <c r="G41" s="63">
        <f t="shared" ref="G41" si="11">F41*D41</f>
        <v>0</v>
      </c>
      <c r="H41" s="10">
        <v>0</v>
      </c>
      <c r="I41" s="63">
        <f t="shared" ref="I41" si="12">SUM(D41*H41)</f>
        <v>0</v>
      </c>
      <c r="J41" s="10">
        <v>300000</v>
      </c>
      <c r="K41" s="63">
        <f t="shared" ref="K41" si="13">D41*J41</f>
        <v>300000</v>
      </c>
      <c r="L41" s="10">
        <v>0</v>
      </c>
      <c r="M41" s="63">
        <f t="shared" ref="M41" si="14">D41*L41</f>
        <v>0</v>
      </c>
      <c r="N41" s="10">
        <f t="shared" ref="N41:O41" si="15">H41+J41+L41+F41</f>
        <v>300000</v>
      </c>
      <c r="O41" s="63">
        <f t="shared" si="15"/>
        <v>300000</v>
      </c>
      <c r="P41" s="19"/>
    </row>
    <row r="42" spans="1:16" ht="30" customHeight="1" x14ac:dyDescent="0.3">
      <c r="A42" s="8">
        <v>2</v>
      </c>
      <c r="B42" s="22" t="s">
        <v>185</v>
      </c>
      <c r="C42" s="8" t="s">
        <v>9</v>
      </c>
      <c r="D42" s="47">
        <v>1</v>
      </c>
      <c r="E42" s="9" t="s">
        <v>10</v>
      </c>
      <c r="F42" s="10">
        <v>0</v>
      </c>
      <c r="G42" s="63">
        <f t="shared" ref="G42:G44" si="16">F42*D42</f>
        <v>0</v>
      </c>
      <c r="H42" s="10">
        <v>2586000</v>
      </c>
      <c r="I42" s="63">
        <f t="shared" ref="I42:I44" si="17">SUM(D42*H42)</f>
        <v>2586000</v>
      </c>
      <c r="J42" s="10">
        <v>3750000</v>
      </c>
      <c r="K42" s="63">
        <f t="shared" ref="K42:K44" si="18">D42*J42</f>
        <v>3750000</v>
      </c>
      <c r="L42" s="10">
        <v>0</v>
      </c>
      <c r="M42" s="63">
        <f t="shared" ref="M42:M44" si="19">D42*L42</f>
        <v>0</v>
      </c>
      <c r="N42" s="10">
        <f t="shared" ref="N42:N44" si="20">H42+J42+L42+F42</f>
        <v>6336000</v>
      </c>
      <c r="O42" s="63">
        <f t="shared" ref="O42:O44" si="21">I42+K42+M42+G42</f>
        <v>6336000</v>
      </c>
      <c r="P42" s="27"/>
    </row>
    <row r="43" spans="1:16" ht="30" customHeight="1" x14ac:dyDescent="0.3">
      <c r="A43" s="8">
        <v>3</v>
      </c>
      <c r="B43" s="22" t="s">
        <v>186</v>
      </c>
      <c r="C43" s="8" t="s">
        <v>9</v>
      </c>
      <c r="D43" s="47">
        <v>1</v>
      </c>
      <c r="E43" s="9" t="s">
        <v>10</v>
      </c>
      <c r="F43" s="10">
        <v>0</v>
      </c>
      <c r="G43" s="63">
        <f t="shared" si="16"/>
        <v>0</v>
      </c>
      <c r="H43" s="10">
        <v>934000</v>
      </c>
      <c r="I43" s="63">
        <f t="shared" si="17"/>
        <v>934000</v>
      </c>
      <c r="J43" s="10">
        <v>1150000</v>
      </c>
      <c r="K43" s="63">
        <f t="shared" si="18"/>
        <v>1150000</v>
      </c>
      <c r="L43" s="10">
        <v>0</v>
      </c>
      <c r="M43" s="63">
        <f t="shared" si="19"/>
        <v>0</v>
      </c>
      <c r="N43" s="10">
        <f t="shared" si="20"/>
        <v>2084000</v>
      </c>
      <c r="O43" s="63">
        <f t="shared" si="21"/>
        <v>2084000</v>
      </c>
      <c r="P43" s="27"/>
    </row>
    <row r="44" spans="1:16" ht="30" customHeight="1" x14ac:dyDescent="0.3">
      <c r="A44" s="8">
        <v>4</v>
      </c>
      <c r="B44" s="22" t="s">
        <v>187</v>
      </c>
      <c r="C44" s="8" t="s">
        <v>9</v>
      </c>
      <c r="D44" s="54">
        <v>1</v>
      </c>
      <c r="E44" s="9" t="s">
        <v>10</v>
      </c>
      <c r="F44" s="10">
        <v>0</v>
      </c>
      <c r="G44" s="63">
        <f t="shared" si="16"/>
        <v>0</v>
      </c>
      <c r="H44" s="10">
        <v>238000</v>
      </c>
      <c r="I44" s="63">
        <f t="shared" si="17"/>
        <v>238000</v>
      </c>
      <c r="J44" s="10">
        <v>450000</v>
      </c>
      <c r="K44" s="63">
        <f t="shared" si="18"/>
        <v>450000</v>
      </c>
      <c r="L44" s="10">
        <v>0</v>
      </c>
      <c r="M44" s="63">
        <f t="shared" si="19"/>
        <v>0</v>
      </c>
      <c r="N44" s="10">
        <f t="shared" si="20"/>
        <v>688000</v>
      </c>
      <c r="O44" s="63">
        <f t="shared" si="21"/>
        <v>688000</v>
      </c>
      <c r="P44" s="30"/>
    </row>
    <row r="45" spans="1:16" ht="30" customHeight="1" x14ac:dyDescent="0.3">
      <c r="A45" s="8">
        <v>5</v>
      </c>
      <c r="B45" s="49" t="s">
        <v>188</v>
      </c>
      <c r="C45" s="8" t="s">
        <v>9</v>
      </c>
      <c r="D45" s="54">
        <v>1</v>
      </c>
      <c r="E45" s="9" t="s">
        <v>10</v>
      </c>
      <c r="F45" s="10">
        <v>0</v>
      </c>
      <c r="G45" s="63">
        <f t="shared" ref="G45:G51" si="22">F45*D45</f>
        <v>0</v>
      </c>
      <c r="H45" s="10">
        <v>1320000</v>
      </c>
      <c r="I45" s="63">
        <f t="shared" ref="I45:I51" si="23">SUM(D45*H45)</f>
        <v>1320000</v>
      </c>
      <c r="J45" s="10">
        <v>2800000</v>
      </c>
      <c r="K45" s="63">
        <f t="shared" ref="K45:K51" si="24">D45*J45</f>
        <v>2800000</v>
      </c>
      <c r="L45" s="10">
        <v>0</v>
      </c>
      <c r="M45" s="63">
        <f t="shared" ref="M45:M51" si="25">D45*L45</f>
        <v>0</v>
      </c>
      <c r="N45" s="10">
        <f t="shared" ref="N45:N51" si="26">H45+J45+L45+F45</f>
        <v>4120000</v>
      </c>
      <c r="O45" s="63">
        <f t="shared" ref="O45:O51" si="27">I45+K45+M45+G45</f>
        <v>4120000</v>
      </c>
      <c r="P45" s="19"/>
    </row>
    <row r="46" spans="1:16" ht="30" customHeight="1" x14ac:dyDescent="0.3">
      <c r="A46" s="8">
        <v>6</v>
      </c>
      <c r="B46" s="49" t="s">
        <v>189</v>
      </c>
      <c r="C46" s="8" t="s">
        <v>9</v>
      </c>
      <c r="D46" s="47">
        <v>1</v>
      </c>
      <c r="E46" s="9" t="s">
        <v>10</v>
      </c>
      <c r="F46" s="10">
        <v>0</v>
      </c>
      <c r="G46" s="63">
        <f t="shared" si="22"/>
        <v>0</v>
      </c>
      <c r="H46" s="10">
        <v>415000</v>
      </c>
      <c r="I46" s="63">
        <f t="shared" si="23"/>
        <v>415000</v>
      </c>
      <c r="J46" s="10">
        <v>1100000</v>
      </c>
      <c r="K46" s="63">
        <f t="shared" si="24"/>
        <v>1100000</v>
      </c>
      <c r="L46" s="10">
        <v>0</v>
      </c>
      <c r="M46" s="63">
        <f t="shared" si="25"/>
        <v>0</v>
      </c>
      <c r="N46" s="10">
        <f t="shared" si="26"/>
        <v>1515000</v>
      </c>
      <c r="O46" s="63">
        <f t="shared" si="27"/>
        <v>1515000</v>
      </c>
      <c r="P46" s="30"/>
    </row>
    <row r="47" spans="1:16" ht="30" customHeight="1" x14ac:dyDescent="0.3">
      <c r="A47" s="8">
        <v>7</v>
      </c>
      <c r="B47" s="17" t="s">
        <v>190</v>
      </c>
      <c r="C47" s="8" t="s">
        <v>9</v>
      </c>
      <c r="D47" s="47">
        <v>1</v>
      </c>
      <c r="E47" s="9" t="s">
        <v>10</v>
      </c>
      <c r="F47" s="10">
        <v>0</v>
      </c>
      <c r="G47" s="63">
        <f t="shared" si="22"/>
        <v>0</v>
      </c>
      <c r="H47" s="10">
        <v>430000</v>
      </c>
      <c r="I47" s="63">
        <f t="shared" si="23"/>
        <v>430000</v>
      </c>
      <c r="J47" s="10">
        <v>570000</v>
      </c>
      <c r="K47" s="63">
        <f t="shared" si="24"/>
        <v>570000</v>
      </c>
      <c r="L47" s="10">
        <v>0</v>
      </c>
      <c r="M47" s="63">
        <f t="shared" si="25"/>
        <v>0</v>
      </c>
      <c r="N47" s="10">
        <f t="shared" si="26"/>
        <v>1000000</v>
      </c>
      <c r="O47" s="63">
        <f t="shared" si="27"/>
        <v>1000000</v>
      </c>
      <c r="P47" s="30"/>
    </row>
    <row r="48" spans="1:16" ht="30" customHeight="1" x14ac:dyDescent="0.3">
      <c r="A48" s="8">
        <v>8</v>
      </c>
      <c r="B48" s="17" t="s">
        <v>191</v>
      </c>
      <c r="C48" s="8" t="s">
        <v>9</v>
      </c>
      <c r="D48" s="47">
        <v>1</v>
      </c>
      <c r="E48" s="9" t="s">
        <v>10</v>
      </c>
      <c r="F48" s="10">
        <v>0</v>
      </c>
      <c r="G48" s="63">
        <f t="shared" si="22"/>
        <v>0</v>
      </c>
      <c r="H48" s="10">
        <v>82000</v>
      </c>
      <c r="I48" s="63">
        <f t="shared" si="23"/>
        <v>82000</v>
      </c>
      <c r="J48" s="10">
        <v>350000</v>
      </c>
      <c r="K48" s="63">
        <f t="shared" si="24"/>
        <v>350000</v>
      </c>
      <c r="L48" s="10">
        <v>0</v>
      </c>
      <c r="M48" s="63">
        <f t="shared" si="25"/>
        <v>0</v>
      </c>
      <c r="N48" s="10">
        <f t="shared" si="26"/>
        <v>432000</v>
      </c>
      <c r="O48" s="63">
        <f t="shared" si="27"/>
        <v>432000</v>
      </c>
      <c r="P48" s="30"/>
    </row>
    <row r="49" spans="1:16" ht="30" customHeight="1" x14ac:dyDescent="0.3">
      <c r="A49" s="8">
        <v>9</v>
      </c>
      <c r="B49" s="17" t="s">
        <v>192</v>
      </c>
      <c r="C49" s="8" t="s">
        <v>9</v>
      </c>
      <c r="D49" s="47">
        <v>1</v>
      </c>
      <c r="E49" s="9" t="s">
        <v>10</v>
      </c>
      <c r="F49" s="10">
        <v>0</v>
      </c>
      <c r="G49" s="63">
        <f t="shared" si="22"/>
        <v>0</v>
      </c>
      <c r="H49" s="10">
        <v>50000</v>
      </c>
      <c r="I49" s="63">
        <f t="shared" si="23"/>
        <v>50000</v>
      </c>
      <c r="J49" s="10">
        <v>450000</v>
      </c>
      <c r="K49" s="63">
        <f t="shared" si="24"/>
        <v>450000</v>
      </c>
      <c r="L49" s="10">
        <v>0</v>
      </c>
      <c r="M49" s="63">
        <f t="shared" si="25"/>
        <v>0</v>
      </c>
      <c r="N49" s="10">
        <f t="shared" si="26"/>
        <v>500000</v>
      </c>
      <c r="O49" s="63">
        <f t="shared" si="27"/>
        <v>500000</v>
      </c>
      <c r="P49" s="30"/>
    </row>
    <row r="50" spans="1:16" ht="30" customHeight="1" x14ac:dyDescent="0.3">
      <c r="A50" s="8">
        <v>10</v>
      </c>
      <c r="B50" s="17" t="s">
        <v>193</v>
      </c>
      <c r="C50" s="8" t="s">
        <v>9</v>
      </c>
      <c r="D50" s="47">
        <v>1</v>
      </c>
      <c r="E50" s="9" t="s">
        <v>10</v>
      </c>
      <c r="F50" s="10">
        <v>0</v>
      </c>
      <c r="G50" s="63">
        <f t="shared" si="22"/>
        <v>0</v>
      </c>
      <c r="H50" s="10">
        <v>170000</v>
      </c>
      <c r="I50" s="63">
        <f t="shared" si="23"/>
        <v>170000</v>
      </c>
      <c r="J50" s="10">
        <v>560000</v>
      </c>
      <c r="K50" s="63">
        <f t="shared" si="24"/>
        <v>560000</v>
      </c>
      <c r="L50" s="10">
        <v>0</v>
      </c>
      <c r="M50" s="63">
        <f t="shared" si="25"/>
        <v>0</v>
      </c>
      <c r="N50" s="10">
        <f t="shared" si="26"/>
        <v>730000</v>
      </c>
      <c r="O50" s="63">
        <f t="shared" si="27"/>
        <v>730000</v>
      </c>
      <c r="P50" s="30"/>
    </row>
    <row r="51" spans="1:16" ht="30" customHeight="1" x14ac:dyDescent="0.3">
      <c r="A51" s="8">
        <v>11</v>
      </c>
      <c r="B51" s="17" t="s">
        <v>194</v>
      </c>
      <c r="C51" s="8" t="s">
        <v>9</v>
      </c>
      <c r="D51" s="47">
        <v>1</v>
      </c>
      <c r="E51" s="9" t="s">
        <v>10</v>
      </c>
      <c r="F51" s="10">
        <v>0</v>
      </c>
      <c r="G51" s="63">
        <f t="shared" si="22"/>
        <v>0</v>
      </c>
      <c r="H51" s="10">
        <v>150000</v>
      </c>
      <c r="I51" s="63">
        <f t="shared" si="23"/>
        <v>150000</v>
      </c>
      <c r="J51" s="10">
        <v>230000</v>
      </c>
      <c r="K51" s="63">
        <f t="shared" si="24"/>
        <v>230000</v>
      </c>
      <c r="L51" s="10">
        <v>0</v>
      </c>
      <c r="M51" s="63">
        <f t="shared" si="25"/>
        <v>0</v>
      </c>
      <c r="N51" s="10">
        <f t="shared" si="26"/>
        <v>380000</v>
      </c>
      <c r="O51" s="63">
        <f t="shared" si="27"/>
        <v>380000</v>
      </c>
      <c r="P51" s="30"/>
    </row>
    <row r="52" spans="1:16" ht="30" customHeight="1" x14ac:dyDescent="0.3">
      <c r="A52" s="8"/>
      <c r="B52" s="17"/>
      <c r="C52" s="8"/>
      <c r="D52" s="47"/>
      <c r="E52" s="9"/>
      <c r="F52" s="10"/>
      <c r="G52" s="63"/>
      <c r="H52" s="63"/>
      <c r="I52" s="63"/>
      <c r="J52" s="10"/>
      <c r="K52" s="63"/>
      <c r="L52" s="10"/>
      <c r="M52" s="63"/>
      <c r="N52" s="10"/>
      <c r="O52" s="63"/>
      <c r="P52" s="29"/>
    </row>
    <row r="53" spans="1:16" ht="30" customHeight="1" x14ac:dyDescent="0.3">
      <c r="A53" s="11"/>
      <c r="B53" s="25"/>
      <c r="C53" s="8"/>
      <c r="D53" s="47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31"/>
    </row>
    <row r="54" spans="1:16" ht="30" customHeight="1" x14ac:dyDescent="0.3">
      <c r="A54" s="32"/>
      <c r="B54" s="32" t="s">
        <v>8</v>
      </c>
      <c r="C54" s="32"/>
      <c r="D54" s="51"/>
      <c r="E54" s="33"/>
      <c r="F54" s="34"/>
      <c r="G54" s="34">
        <f>SUM(G39:G53)</f>
        <v>0</v>
      </c>
      <c r="H54" s="34"/>
      <c r="I54" s="34">
        <f>SUM(I39:I53)</f>
        <v>6375000</v>
      </c>
      <c r="J54" s="34"/>
      <c r="K54" s="34">
        <f>SUM(K39:K53)</f>
        <v>11710000</v>
      </c>
      <c r="L54" s="34"/>
      <c r="M54" s="34">
        <f>SUM(M39:M53)</f>
        <v>0</v>
      </c>
      <c r="N54" s="34"/>
      <c r="O54" s="34">
        <f>SUM(O39:O53)</f>
        <v>18085000</v>
      </c>
      <c r="P54" s="33"/>
    </row>
    <row r="55" spans="1:16" ht="30" customHeight="1" x14ac:dyDescent="0.3">
      <c r="A55" s="27"/>
      <c r="B55" s="27"/>
      <c r="C55" s="27"/>
      <c r="D55" s="52"/>
      <c r="E55" s="29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27"/>
    </row>
    <row r="56" spans="1:16" ht="30" customHeight="1" x14ac:dyDescent="0.3">
      <c r="A56" s="27">
        <v>6</v>
      </c>
      <c r="B56" s="28" t="s">
        <v>31</v>
      </c>
      <c r="C56" s="27"/>
      <c r="D56" s="52"/>
      <c r="E56" s="29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27"/>
    </row>
    <row r="57" spans="1:16" ht="30" customHeight="1" x14ac:dyDescent="0.3">
      <c r="A57" s="8">
        <v>1</v>
      </c>
      <c r="B57" s="22" t="s">
        <v>125</v>
      </c>
      <c r="C57" s="46" t="s">
        <v>78</v>
      </c>
      <c r="D57" s="47">
        <v>1</v>
      </c>
      <c r="E57" s="9" t="s">
        <v>13</v>
      </c>
      <c r="F57" s="10">
        <v>380000</v>
      </c>
      <c r="G57" s="63">
        <f t="shared" ref="G57:G67" si="28">F57*D57</f>
        <v>380000</v>
      </c>
      <c r="H57" s="70">
        <v>0</v>
      </c>
      <c r="I57" s="63">
        <f t="shared" ref="I57:I67" si="29">SUM(D57*H57)</f>
        <v>0</v>
      </c>
      <c r="J57" s="10">
        <v>0</v>
      </c>
      <c r="K57" s="63">
        <f t="shared" ref="K57:K67" si="30">D57*J57</f>
        <v>0</v>
      </c>
      <c r="L57" s="10">
        <v>0</v>
      </c>
      <c r="M57" s="63">
        <f t="shared" ref="M57:M67" si="31">D57*L57</f>
        <v>0</v>
      </c>
      <c r="N57" s="10">
        <f t="shared" ref="N57:O60" si="32">H57+J57+L57+F57</f>
        <v>380000</v>
      </c>
      <c r="O57" s="63">
        <f t="shared" si="32"/>
        <v>380000</v>
      </c>
      <c r="P57" s="30"/>
    </row>
    <row r="58" spans="1:16" ht="30" customHeight="1" x14ac:dyDescent="0.3">
      <c r="A58" s="8">
        <v>2</v>
      </c>
      <c r="B58" s="22" t="s">
        <v>79</v>
      </c>
      <c r="C58" s="46" t="s">
        <v>80</v>
      </c>
      <c r="D58" s="47">
        <v>2</v>
      </c>
      <c r="E58" s="9" t="s">
        <v>13</v>
      </c>
      <c r="F58" s="10">
        <v>160000</v>
      </c>
      <c r="G58" s="63">
        <f t="shared" si="28"/>
        <v>320000</v>
      </c>
      <c r="H58" s="70">
        <v>0</v>
      </c>
      <c r="I58" s="63">
        <f t="shared" si="29"/>
        <v>0</v>
      </c>
      <c r="J58" s="10">
        <v>0</v>
      </c>
      <c r="K58" s="63">
        <f t="shared" si="30"/>
        <v>0</v>
      </c>
      <c r="L58" s="10">
        <v>0</v>
      </c>
      <c r="M58" s="63">
        <f t="shared" si="31"/>
        <v>0</v>
      </c>
      <c r="N58" s="10">
        <f>H58+J58+L58+F58</f>
        <v>160000</v>
      </c>
      <c r="O58" s="63">
        <f>I58+K58+M58+G58</f>
        <v>320000</v>
      </c>
      <c r="P58" s="27"/>
    </row>
    <row r="59" spans="1:16" ht="30" customHeight="1" x14ac:dyDescent="0.3">
      <c r="A59" s="8">
        <v>3</v>
      </c>
      <c r="B59" s="22" t="s">
        <v>81</v>
      </c>
      <c r="C59" s="46" t="s">
        <v>82</v>
      </c>
      <c r="D59" s="47">
        <v>1</v>
      </c>
      <c r="E59" s="9" t="s">
        <v>13</v>
      </c>
      <c r="F59" s="10">
        <v>200000</v>
      </c>
      <c r="G59" s="63">
        <f t="shared" si="28"/>
        <v>200000</v>
      </c>
      <c r="H59" s="70">
        <v>0</v>
      </c>
      <c r="I59" s="63">
        <f t="shared" si="29"/>
        <v>0</v>
      </c>
      <c r="J59" s="10">
        <v>0</v>
      </c>
      <c r="K59" s="63">
        <f t="shared" si="30"/>
        <v>0</v>
      </c>
      <c r="L59" s="10">
        <v>0</v>
      </c>
      <c r="M59" s="63">
        <f t="shared" si="31"/>
        <v>0</v>
      </c>
      <c r="N59" s="10">
        <f t="shared" si="32"/>
        <v>200000</v>
      </c>
      <c r="O59" s="63">
        <f t="shared" si="32"/>
        <v>200000</v>
      </c>
      <c r="P59" s="27"/>
    </row>
    <row r="60" spans="1:16" ht="30" customHeight="1" x14ac:dyDescent="0.3">
      <c r="A60" s="8">
        <v>4</v>
      </c>
      <c r="B60" s="22" t="s">
        <v>83</v>
      </c>
      <c r="C60" s="46" t="s">
        <v>9</v>
      </c>
      <c r="D60" s="47">
        <v>1</v>
      </c>
      <c r="E60" s="9" t="s">
        <v>13</v>
      </c>
      <c r="F60" s="10">
        <v>400000</v>
      </c>
      <c r="G60" s="63">
        <f t="shared" si="28"/>
        <v>400000</v>
      </c>
      <c r="H60" s="10">
        <v>0</v>
      </c>
      <c r="I60" s="63">
        <f t="shared" si="29"/>
        <v>0</v>
      </c>
      <c r="J60" s="10">
        <v>0</v>
      </c>
      <c r="K60" s="63">
        <f t="shared" si="30"/>
        <v>0</v>
      </c>
      <c r="L60" s="10">
        <v>0</v>
      </c>
      <c r="M60" s="63">
        <f t="shared" si="31"/>
        <v>0</v>
      </c>
      <c r="N60" s="10">
        <f t="shared" si="32"/>
        <v>400000</v>
      </c>
      <c r="O60" s="63">
        <f t="shared" si="32"/>
        <v>400000</v>
      </c>
      <c r="P60" s="27"/>
    </row>
    <row r="61" spans="1:16" ht="30" customHeight="1" x14ac:dyDescent="0.3">
      <c r="A61" s="8">
        <v>5</v>
      </c>
      <c r="B61" s="22" t="s">
        <v>84</v>
      </c>
      <c r="C61" s="46" t="s">
        <v>9</v>
      </c>
      <c r="D61" s="47">
        <v>1</v>
      </c>
      <c r="E61" s="9" t="s">
        <v>10</v>
      </c>
      <c r="F61" s="10">
        <v>150000</v>
      </c>
      <c r="G61" s="63">
        <f t="shared" si="28"/>
        <v>150000</v>
      </c>
      <c r="H61" s="10">
        <v>0</v>
      </c>
      <c r="I61" s="63">
        <f t="shared" si="29"/>
        <v>0</v>
      </c>
      <c r="J61" s="10">
        <v>0</v>
      </c>
      <c r="K61" s="63">
        <f t="shared" si="30"/>
        <v>0</v>
      </c>
      <c r="L61" s="10">
        <v>0</v>
      </c>
      <c r="M61" s="63">
        <f t="shared" si="31"/>
        <v>0</v>
      </c>
      <c r="N61" s="10">
        <f t="shared" ref="N61:O67" si="33">H61+J61+L61+F61</f>
        <v>150000</v>
      </c>
      <c r="O61" s="63">
        <f t="shared" si="33"/>
        <v>150000</v>
      </c>
      <c r="P61" s="27"/>
    </row>
    <row r="62" spans="1:16" ht="30" customHeight="1" x14ac:dyDescent="0.3">
      <c r="A62" s="8">
        <v>6</v>
      </c>
      <c r="B62" s="22" t="s">
        <v>85</v>
      </c>
      <c r="C62" s="46" t="s">
        <v>124</v>
      </c>
      <c r="D62" s="47">
        <v>1</v>
      </c>
      <c r="E62" s="9" t="s">
        <v>10</v>
      </c>
      <c r="F62" s="10">
        <v>400000</v>
      </c>
      <c r="G62" s="63">
        <f t="shared" si="28"/>
        <v>400000</v>
      </c>
      <c r="H62" s="10">
        <v>0</v>
      </c>
      <c r="I62" s="63">
        <f t="shared" si="29"/>
        <v>0</v>
      </c>
      <c r="J62" s="10">
        <v>0</v>
      </c>
      <c r="K62" s="63">
        <f t="shared" si="30"/>
        <v>0</v>
      </c>
      <c r="L62" s="10">
        <v>0</v>
      </c>
      <c r="M62" s="63">
        <f t="shared" si="31"/>
        <v>0</v>
      </c>
      <c r="N62" s="10">
        <f t="shared" si="33"/>
        <v>400000</v>
      </c>
      <c r="O62" s="63">
        <f t="shared" si="33"/>
        <v>400000</v>
      </c>
      <c r="P62" s="27"/>
    </row>
    <row r="63" spans="1:16" ht="30" customHeight="1" x14ac:dyDescent="0.3">
      <c r="A63" s="8">
        <v>7</v>
      </c>
      <c r="B63" s="22" t="s">
        <v>126</v>
      </c>
      <c r="C63" s="46"/>
      <c r="D63" s="47">
        <v>1</v>
      </c>
      <c r="E63" s="9" t="s">
        <v>13</v>
      </c>
      <c r="F63" s="10">
        <v>50000</v>
      </c>
      <c r="G63" s="63">
        <f t="shared" si="28"/>
        <v>50000</v>
      </c>
      <c r="H63" s="10">
        <v>0</v>
      </c>
      <c r="I63" s="63">
        <f t="shared" si="29"/>
        <v>0</v>
      </c>
      <c r="J63" s="10">
        <v>0</v>
      </c>
      <c r="K63" s="63">
        <f t="shared" si="30"/>
        <v>0</v>
      </c>
      <c r="L63" s="10">
        <v>0</v>
      </c>
      <c r="M63" s="63">
        <f t="shared" si="31"/>
        <v>0</v>
      </c>
      <c r="N63" s="10">
        <f t="shared" si="33"/>
        <v>50000</v>
      </c>
      <c r="O63" s="63">
        <f t="shared" si="33"/>
        <v>50000</v>
      </c>
      <c r="P63" s="27"/>
    </row>
    <row r="64" spans="1:16" ht="30" customHeight="1" x14ac:dyDescent="0.3">
      <c r="A64" s="8">
        <v>8</v>
      </c>
      <c r="B64" s="22" t="s">
        <v>129</v>
      </c>
      <c r="C64" s="46" t="s">
        <v>127</v>
      </c>
      <c r="D64" s="47">
        <v>2</v>
      </c>
      <c r="E64" s="9" t="s">
        <v>13</v>
      </c>
      <c r="F64" s="10">
        <v>200000</v>
      </c>
      <c r="G64" s="63">
        <f t="shared" si="28"/>
        <v>400000</v>
      </c>
      <c r="H64" s="10">
        <v>0</v>
      </c>
      <c r="I64" s="63">
        <f t="shared" si="29"/>
        <v>0</v>
      </c>
      <c r="J64" s="10">
        <v>0</v>
      </c>
      <c r="K64" s="63">
        <f t="shared" si="30"/>
        <v>0</v>
      </c>
      <c r="L64" s="10">
        <v>0</v>
      </c>
      <c r="M64" s="63">
        <f t="shared" si="31"/>
        <v>0</v>
      </c>
      <c r="N64" s="10">
        <f t="shared" si="33"/>
        <v>200000</v>
      </c>
      <c r="O64" s="63">
        <f t="shared" si="33"/>
        <v>400000</v>
      </c>
      <c r="P64" s="27"/>
    </row>
    <row r="65" spans="1:16" ht="30" customHeight="1" x14ac:dyDescent="0.3">
      <c r="A65" s="8">
        <v>9</v>
      </c>
      <c r="B65" s="22" t="s">
        <v>130</v>
      </c>
      <c r="C65" s="46" t="s">
        <v>128</v>
      </c>
      <c r="D65" s="47">
        <v>1</v>
      </c>
      <c r="E65" s="9" t="s">
        <v>13</v>
      </c>
      <c r="F65" s="10">
        <v>250000</v>
      </c>
      <c r="G65" s="63">
        <f t="shared" si="28"/>
        <v>250000</v>
      </c>
      <c r="H65" s="10">
        <v>0</v>
      </c>
      <c r="I65" s="63">
        <f t="shared" si="29"/>
        <v>0</v>
      </c>
      <c r="J65" s="10">
        <v>0</v>
      </c>
      <c r="K65" s="63">
        <f t="shared" si="30"/>
        <v>0</v>
      </c>
      <c r="L65" s="10">
        <v>0</v>
      </c>
      <c r="M65" s="63">
        <f t="shared" si="31"/>
        <v>0</v>
      </c>
      <c r="N65" s="10">
        <f t="shared" si="33"/>
        <v>250000</v>
      </c>
      <c r="O65" s="63">
        <f t="shared" si="33"/>
        <v>250000</v>
      </c>
      <c r="P65" s="27"/>
    </row>
    <row r="66" spans="1:16" ht="30" customHeight="1" x14ac:dyDescent="0.3">
      <c r="A66" s="8">
        <v>10</v>
      </c>
      <c r="B66" s="22" t="s">
        <v>122</v>
      </c>
      <c r="C66" s="46"/>
      <c r="D66" s="47">
        <v>1</v>
      </c>
      <c r="E66" s="9" t="s">
        <v>10</v>
      </c>
      <c r="F66" s="10">
        <v>150000</v>
      </c>
      <c r="G66" s="63">
        <f t="shared" si="28"/>
        <v>150000</v>
      </c>
      <c r="H66" s="10">
        <v>0</v>
      </c>
      <c r="I66" s="63">
        <f t="shared" si="29"/>
        <v>0</v>
      </c>
      <c r="J66" s="10">
        <v>0</v>
      </c>
      <c r="K66" s="63">
        <f t="shared" si="30"/>
        <v>0</v>
      </c>
      <c r="L66" s="10">
        <v>0</v>
      </c>
      <c r="M66" s="63">
        <f t="shared" si="31"/>
        <v>0</v>
      </c>
      <c r="N66" s="10">
        <f t="shared" si="33"/>
        <v>150000</v>
      </c>
      <c r="O66" s="63">
        <f t="shared" si="33"/>
        <v>150000</v>
      </c>
      <c r="P66" s="27"/>
    </row>
    <row r="67" spans="1:16" ht="30" customHeight="1" x14ac:dyDescent="0.3">
      <c r="A67" s="8">
        <v>11</v>
      </c>
      <c r="B67" s="22" t="s">
        <v>131</v>
      </c>
      <c r="C67" s="46"/>
      <c r="D67" s="47">
        <v>1</v>
      </c>
      <c r="E67" s="9" t="s">
        <v>10</v>
      </c>
      <c r="F67" s="10">
        <v>270000</v>
      </c>
      <c r="G67" s="63">
        <f t="shared" si="28"/>
        <v>270000</v>
      </c>
      <c r="H67" s="10">
        <v>0</v>
      </c>
      <c r="I67" s="63">
        <f t="shared" si="29"/>
        <v>0</v>
      </c>
      <c r="J67" s="10">
        <v>0</v>
      </c>
      <c r="K67" s="63">
        <f t="shared" si="30"/>
        <v>0</v>
      </c>
      <c r="L67" s="10">
        <v>0</v>
      </c>
      <c r="M67" s="63">
        <f t="shared" si="31"/>
        <v>0</v>
      </c>
      <c r="N67" s="10">
        <f t="shared" si="33"/>
        <v>270000</v>
      </c>
      <c r="O67" s="63">
        <f t="shared" si="33"/>
        <v>270000</v>
      </c>
      <c r="P67" s="27"/>
    </row>
    <row r="68" spans="1:16" ht="30" customHeight="1" x14ac:dyDescent="0.3">
      <c r="A68" s="11"/>
      <c r="B68" s="25"/>
      <c r="C68" s="8"/>
      <c r="D68" s="47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31"/>
    </row>
    <row r="69" spans="1:16" ht="30" customHeight="1" x14ac:dyDescent="0.3">
      <c r="A69" s="11"/>
      <c r="B69" s="25"/>
      <c r="C69" s="8"/>
      <c r="D69" s="47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31"/>
    </row>
    <row r="70" spans="1:16" ht="30" customHeight="1" x14ac:dyDescent="0.3">
      <c r="A70" s="32"/>
      <c r="B70" s="32" t="s">
        <v>8</v>
      </c>
      <c r="C70" s="32"/>
      <c r="D70" s="51"/>
      <c r="E70" s="33"/>
      <c r="F70" s="34"/>
      <c r="G70" s="34">
        <f>SUM(G55:G69)</f>
        <v>2970000</v>
      </c>
      <c r="H70" s="34"/>
      <c r="I70" s="34">
        <f>SUM(I55:I69)</f>
        <v>0</v>
      </c>
      <c r="J70" s="34"/>
      <c r="K70" s="34">
        <f>SUM(K55:K69)</f>
        <v>0</v>
      </c>
      <c r="L70" s="34"/>
      <c r="M70" s="34">
        <f>SUM(M55:M69)</f>
        <v>0</v>
      </c>
      <c r="N70" s="34"/>
      <c r="O70" s="34">
        <f>SUM(O55:O69)</f>
        <v>2970000</v>
      </c>
      <c r="P70" s="33"/>
    </row>
    <row r="71" spans="1:16" ht="30" customHeight="1" x14ac:dyDescent="0.3">
      <c r="A71" s="8"/>
      <c r="B71" s="22"/>
      <c r="C71" s="8"/>
      <c r="D71" s="47"/>
      <c r="E71" s="9"/>
      <c r="F71" s="10"/>
      <c r="G71" s="63"/>
      <c r="H71" s="10"/>
      <c r="I71" s="63"/>
      <c r="J71" s="10"/>
      <c r="K71" s="63"/>
      <c r="L71" s="10"/>
      <c r="M71" s="63"/>
      <c r="N71" s="10"/>
      <c r="O71" s="63"/>
      <c r="P71" s="40"/>
    </row>
    <row r="72" spans="1:16" ht="30" customHeight="1" x14ac:dyDescent="0.3">
      <c r="A72" s="27">
        <v>7</v>
      </c>
      <c r="B72" s="28" t="s">
        <v>33</v>
      </c>
      <c r="C72" s="27"/>
      <c r="D72" s="52"/>
      <c r="E72" s="29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27"/>
    </row>
    <row r="73" spans="1:16" ht="30" customHeight="1" x14ac:dyDescent="0.3">
      <c r="A73" s="8">
        <v>1</v>
      </c>
      <c r="B73" s="22" t="s">
        <v>54</v>
      </c>
      <c r="C73" s="8" t="s">
        <v>9</v>
      </c>
      <c r="D73" s="47">
        <v>106.03</v>
      </c>
      <c r="E73" s="9" t="s">
        <v>25</v>
      </c>
      <c r="F73" s="10">
        <v>45000</v>
      </c>
      <c r="G73" s="63">
        <f t="shared" ref="G73:G80" si="34">F73*D73</f>
        <v>4771350</v>
      </c>
      <c r="H73" s="10">
        <v>0</v>
      </c>
      <c r="I73" s="63">
        <f t="shared" ref="I73:I80" si="35">SUM(D73*H73)</f>
        <v>0</v>
      </c>
      <c r="J73" s="10">
        <v>0</v>
      </c>
      <c r="K73" s="63">
        <f t="shared" ref="K73:K80" si="36">D73*J73</f>
        <v>0</v>
      </c>
      <c r="L73" s="10">
        <v>0</v>
      </c>
      <c r="M73" s="63">
        <f t="shared" ref="M73:M80" si="37">D73*L73</f>
        <v>0</v>
      </c>
      <c r="N73" s="10">
        <f t="shared" ref="N73:N83" si="38">H73+J73+L73+F73</f>
        <v>45000</v>
      </c>
      <c r="O73" s="63">
        <f t="shared" ref="O73:O83" si="39">I73+K73+M73+G73</f>
        <v>4771350</v>
      </c>
      <c r="P73" s="19"/>
    </row>
    <row r="74" spans="1:16" ht="30" customHeight="1" x14ac:dyDescent="0.3">
      <c r="A74" s="8">
        <v>2</v>
      </c>
      <c r="B74" s="22" t="s">
        <v>55</v>
      </c>
      <c r="C74" s="8" t="s">
        <v>9</v>
      </c>
      <c r="D74" s="47">
        <v>21.81</v>
      </c>
      <c r="E74" s="9" t="s">
        <v>25</v>
      </c>
      <c r="F74" s="10">
        <v>30000</v>
      </c>
      <c r="G74" s="63">
        <f>F74*D74</f>
        <v>654300</v>
      </c>
      <c r="H74" s="10">
        <v>0</v>
      </c>
      <c r="I74" s="63">
        <f>SUM(D74*H74)</f>
        <v>0</v>
      </c>
      <c r="J74" s="10">
        <v>0</v>
      </c>
      <c r="K74" s="63">
        <f>D74*J74</f>
        <v>0</v>
      </c>
      <c r="L74" s="10">
        <v>0</v>
      </c>
      <c r="M74" s="63">
        <f>D74*L74</f>
        <v>0</v>
      </c>
      <c r="N74" s="10">
        <f t="shared" si="38"/>
        <v>30000</v>
      </c>
      <c r="O74" s="63">
        <f t="shared" si="39"/>
        <v>654300</v>
      </c>
      <c r="P74" s="19"/>
    </row>
    <row r="75" spans="1:16" ht="30" customHeight="1" x14ac:dyDescent="0.3">
      <c r="A75" s="8">
        <v>3</v>
      </c>
      <c r="B75" s="22" t="s">
        <v>56</v>
      </c>
      <c r="C75" s="8" t="s">
        <v>9</v>
      </c>
      <c r="D75" s="47">
        <v>31.42</v>
      </c>
      <c r="E75" s="9" t="s">
        <v>25</v>
      </c>
      <c r="F75" s="10">
        <v>30000</v>
      </c>
      <c r="G75" s="63">
        <f>F75*D75</f>
        <v>942600</v>
      </c>
      <c r="H75" s="10">
        <v>0</v>
      </c>
      <c r="I75" s="63">
        <f>SUM(D75*H75)</f>
        <v>0</v>
      </c>
      <c r="J75" s="10">
        <v>0</v>
      </c>
      <c r="K75" s="63">
        <f>D75*J75</f>
        <v>0</v>
      </c>
      <c r="L75" s="10">
        <v>0</v>
      </c>
      <c r="M75" s="63">
        <f>D75*L75</f>
        <v>0</v>
      </c>
      <c r="N75" s="10">
        <f t="shared" si="38"/>
        <v>30000</v>
      </c>
      <c r="O75" s="63">
        <f t="shared" si="39"/>
        <v>942600</v>
      </c>
      <c r="P75" s="19"/>
    </row>
    <row r="76" spans="1:16" ht="30" customHeight="1" x14ac:dyDescent="0.3">
      <c r="A76" s="8">
        <v>4</v>
      </c>
      <c r="B76" s="22" t="s">
        <v>51</v>
      </c>
      <c r="C76" s="8" t="s">
        <v>9</v>
      </c>
      <c r="D76" s="47">
        <v>1</v>
      </c>
      <c r="E76" s="9" t="s">
        <v>133</v>
      </c>
      <c r="F76" s="10">
        <v>300000</v>
      </c>
      <c r="G76" s="63">
        <f t="shared" si="34"/>
        <v>300000</v>
      </c>
      <c r="H76" s="10">
        <v>0</v>
      </c>
      <c r="I76" s="63">
        <f t="shared" si="35"/>
        <v>0</v>
      </c>
      <c r="J76" s="10">
        <v>0</v>
      </c>
      <c r="K76" s="63">
        <f t="shared" si="36"/>
        <v>0</v>
      </c>
      <c r="L76" s="10">
        <v>0</v>
      </c>
      <c r="M76" s="63">
        <f t="shared" si="37"/>
        <v>0</v>
      </c>
      <c r="N76" s="10">
        <f t="shared" si="38"/>
        <v>300000</v>
      </c>
      <c r="O76" s="63">
        <f t="shared" si="39"/>
        <v>300000</v>
      </c>
      <c r="P76" s="19"/>
    </row>
    <row r="77" spans="1:16" ht="30" customHeight="1" x14ac:dyDescent="0.3">
      <c r="A77" s="8">
        <v>5</v>
      </c>
      <c r="B77" s="22" t="s">
        <v>177</v>
      </c>
      <c r="C77" s="8" t="s">
        <v>9</v>
      </c>
      <c r="D77" s="50">
        <v>1</v>
      </c>
      <c r="E77" s="9" t="s">
        <v>132</v>
      </c>
      <c r="F77" s="10">
        <v>862000</v>
      </c>
      <c r="G77" s="63">
        <f>F77*D77</f>
        <v>862000</v>
      </c>
      <c r="H77" s="70">
        <v>0</v>
      </c>
      <c r="I77" s="63">
        <f>SUM(D77*H77)</f>
        <v>0</v>
      </c>
      <c r="J77" s="10">
        <v>0</v>
      </c>
      <c r="K77" s="63">
        <f>D77*J77</f>
        <v>0</v>
      </c>
      <c r="L77" s="10">
        <v>0</v>
      </c>
      <c r="M77" s="63">
        <f>D77*L77</f>
        <v>0</v>
      </c>
      <c r="N77" s="10">
        <f t="shared" si="38"/>
        <v>862000</v>
      </c>
      <c r="O77" s="63">
        <f t="shared" si="39"/>
        <v>862000</v>
      </c>
      <c r="P77" s="19"/>
    </row>
    <row r="78" spans="1:16" ht="30" customHeight="1" x14ac:dyDescent="0.3">
      <c r="A78" s="8">
        <v>6</v>
      </c>
      <c r="B78" s="22" t="s">
        <v>59</v>
      </c>
      <c r="C78" s="8" t="s">
        <v>9</v>
      </c>
      <c r="D78" s="47">
        <v>122.4</v>
      </c>
      <c r="E78" s="9" t="s">
        <v>134</v>
      </c>
      <c r="F78" s="10">
        <v>0</v>
      </c>
      <c r="G78" s="63">
        <f t="shared" si="34"/>
        <v>0</v>
      </c>
      <c r="H78" s="10">
        <v>18000</v>
      </c>
      <c r="I78" s="63">
        <f t="shared" si="35"/>
        <v>2203200</v>
      </c>
      <c r="J78" s="10">
        <v>0</v>
      </c>
      <c r="K78" s="63">
        <f t="shared" si="36"/>
        <v>0</v>
      </c>
      <c r="L78" s="10">
        <v>0</v>
      </c>
      <c r="M78" s="63">
        <f t="shared" si="37"/>
        <v>0</v>
      </c>
      <c r="N78" s="10">
        <f t="shared" si="38"/>
        <v>18000</v>
      </c>
      <c r="O78" s="63">
        <f t="shared" si="39"/>
        <v>2203200</v>
      </c>
      <c r="P78" s="19"/>
    </row>
    <row r="79" spans="1:16" ht="30" customHeight="1" x14ac:dyDescent="0.3">
      <c r="A79" s="8">
        <v>7</v>
      </c>
      <c r="B79" s="17" t="s">
        <v>60</v>
      </c>
      <c r="C79" s="8" t="s">
        <v>57</v>
      </c>
      <c r="D79" s="50">
        <v>27.9</v>
      </c>
      <c r="E79" s="9" t="s">
        <v>135</v>
      </c>
      <c r="F79" s="10">
        <v>0</v>
      </c>
      <c r="G79" s="63">
        <f t="shared" si="34"/>
        <v>0</v>
      </c>
      <c r="H79" s="70">
        <v>23700</v>
      </c>
      <c r="I79" s="63">
        <f t="shared" si="35"/>
        <v>661230</v>
      </c>
      <c r="J79" s="10">
        <v>0</v>
      </c>
      <c r="K79" s="63">
        <f t="shared" si="36"/>
        <v>0</v>
      </c>
      <c r="L79" s="10">
        <v>0</v>
      </c>
      <c r="M79" s="63">
        <f t="shared" si="37"/>
        <v>0</v>
      </c>
      <c r="N79" s="10">
        <f t="shared" si="38"/>
        <v>23700</v>
      </c>
      <c r="O79" s="63">
        <f t="shared" si="39"/>
        <v>661230</v>
      </c>
      <c r="P79" s="19"/>
    </row>
    <row r="80" spans="1:16" ht="30" customHeight="1" x14ac:dyDescent="0.3">
      <c r="A80" s="8">
        <v>8</v>
      </c>
      <c r="B80" s="22" t="s">
        <v>61</v>
      </c>
      <c r="C80" s="8" t="s">
        <v>58</v>
      </c>
      <c r="D80" s="47">
        <v>40.32</v>
      </c>
      <c r="E80" s="9" t="s">
        <v>136</v>
      </c>
      <c r="F80" s="10">
        <v>0</v>
      </c>
      <c r="G80" s="63">
        <f t="shared" si="34"/>
        <v>0</v>
      </c>
      <c r="H80" s="70">
        <v>12500</v>
      </c>
      <c r="I80" s="63">
        <f t="shared" si="35"/>
        <v>504000</v>
      </c>
      <c r="J80" s="10">
        <v>0</v>
      </c>
      <c r="K80" s="63">
        <f t="shared" si="36"/>
        <v>0</v>
      </c>
      <c r="L80" s="10">
        <v>0</v>
      </c>
      <c r="M80" s="63">
        <f t="shared" si="37"/>
        <v>0</v>
      </c>
      <c r="N80" s="10">
        <f t="shared" si="38"/>
        <v>12500</v>
      </c>
      <c r="O80" s="63">
        <f t="shared" si="39"/>
        <v>504000</v>
      </c>
      <c r="P80" s="19"/>
    </row>
    <row r="81" spans="1:16" ht="30" customHeight="1" x14ac:dyDescent="0.3">
      <c r="A81" s="8">
        <v>9</v>
      </c>
      <c r="B81" s="22" t="s">
        <v>137</v>
      </c>
      <c r="C81" s="8"/>
      <c r="D81" s="50">
        <v>4</v>
      </c>
      <c r="E81" s="9" t="s">
        <v>139</v>
      </c>
      <c r="F81" s="10">
        <v>0</v>
      </c>
      <c r="G81" s="63">
        <f>F81*D81</f>
        <v>0</v>
      </c>
      <c r="H81" s="10">
        <v>6000</v>
      </c>
      <c r="I81" s="63">
        <f>SUM(D81*H81)</f>
        <v>24000</v>
      </c>
      <c r="J81" s="10">
        <v>0</v>
      </c>
      <c r="K81" s="63">
        <f>D81*J81</f>
        <v>0</v>
      </c>
      <c r="L81" s="10">
        <v>0</v>
      </c>
      <c r="M81" s="63">
        <f>D81*L81</f>
        <v>0</v>
      </c>
      <c r="N81" s="10">
        <f t="shared" si="38"/>
        <v>6000</v>
      </c>
      <c r="O81" s="63">
        <f t="shared" si="39"/>
        <v>24000</v>
      </c>
      <c r="P81" s="19"/>
    </row>
    <row r="82" spans="1:16" ht="30" customHeight="1" x14ac:dyDescent="0.3">
      <c r="A82" s="8">
        <v>10</v>
      </c>
      <c r="B82" s="22" t="s">
        <v>138</v>
      </c>
      <c r="C82" s="8"/>
      <c r="D82" s="50">
        <v>15</v>
      </c>
      <c r="E82" s="9" t="s">
        <v>140</v>
      </c>
      <c r="F82" s="10">
        <v>0</v>
      </c>
      <c r="G82" s="63">
        <f>F82*D82</f>
        <v>0</v>
      </c>
      <c r="H82" s="10">
        <v>6000</v>
      </c>
      <c r="I82" s="63">
        <f>SUM(D82*H82)</f>
        <v>90000</v>
      </c>
      <c r="J82" s="10">
        <v>0</v>
      </c>
      <c r="K82" s="63">
        <f>D82*J82</f>
        <v>0</v>
      </c>
      <c r="L82" s="10">
        <v>0</v>
      </c>
      <c r="M82" s="63">
        <f>D82*L82</f>
        <v>0</v>
      </c>
      <c r="N82" s="10">
        <f t="shared" si="38"/>
        <v>6000</v>
      </c>
      <c r="O82" s="63">
        <f t="shared" si="39"/>
        <v>90000</v>
      </c>
      <c r="P82" s="19"/>
    </row>
    <row r="83" spans="1:16" ht="30" customHeight="1" x14ac:dyDescent="0.3">
      <c r="A83" s="8">
        <v>11</v>
      </c>
      <c r="B83" s="22" t="s">
        <v>141</v>
      </c>
      <c r="C83" s="8"/>
      <c r="D83" s="50">
        <v>10</v>
      </c>
      <c r="E83" s="9" t="s">
        <v>140</v>
      </c>
      <c r="F83" s="10">
        <v>0</v>
      </c>
      <c r="G83" s="63">
        <f>F83*D83</f>
        <v>0</v>
      </c>
      <c r="H83" s="10">
        <v>4500</v>
      </c>
      <c r="I83" s="63">
        <f>SUM(D83*H83)</f>
        <v>45000</v>
      </c>
      <c r="J83" s="10">
        <v>0</v>
      </c>
      <c r="K83" s="63">
        <f>D83*J83</f>
        <v>0</v>
      </c>
      <c r="L83" s="10">
        <v>0</v>
      </c>
      <c r="M83" s="63">
        <f>D83*L83</f>
        <v>0</v>
      </c>
      <c r="N83" s="10">
        <f t="shared" si="38"/>
        <v>4500</v>
      </c>
      <c r="O83" s="63">
        <f t="shared" si="39"/>
        <v>45000</v>
      </c>
      <c r="P83" s="19"/>
    </row>
    <row r="84" spans="1:16" ht="30" customHeight="1" x14ac:dyDescent="0.3">
      <c r="A84" s="8"/>
      <c r="B84" s="25"/>
      <c r="C84" s="47" t="s">
        <v>27</v>
      </c>
      <c r="D84" s="47"/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1"/>
    </row>
    <row r="85" spans="1:16" ht="30" customHeight="1" x14ac:dyDescent="0.3">
      <c r="A85" s="32"/>
      <c r="B85" s="32" t="s">
        <v>8</v>
      </c>
      <c r="C85" s="32"/>
      <c r="D85" s="51"/>
      <c r="E85" s="33"/>
      <c r="F85" s="34"/>
      <c r="G85" s="34">
        <f>SUM(G71:G84)</f>
        <v>7530250</v>
      </c>
      <c r="H85" s="34"/>
      <c r="I85" s="34">
        <f>SUM(I71:I84)</f>
        <v>3527430</v>
      </c>
      <c r="J85" s="34"/>
      <c r="K85" s="34">
        <f>SUM(K71:K84)</f>
        <v>0</v>
      </c>
      <c r="L85" s="34"/>
      <c r="M85" s="34">
        <f>SUM(M71:M84)</f>
        <v>0</v>
      </c>
      <c r="N85" s="34"/>
      <c r="O85" s="34">
        <f>SUM(O71:O84)</f>
        <v>11057680</v>
      </c>
      <c r="P85" s="33"/>
    </row>
    <row r="86" spans="1:16" ht="30" customHeight="1" x14ac:dyDescent="0.3">
      <c r="A86" s="8"/>
      <c r="B86" s="22"/>
      <c r="C86" s="8"/>
      <c r="D86" s="47"/>
      <c r="E86" s="9"/>
      <c r="F86" s="10"/>
      <c r="G86" s="63"/>
      <c r="H86" s="10"/>
      <c r="I86" s="63"/>
      <c r="J86" s="10"/>
      <c r="K86" s="63"/>
      <c r="L86" s="10"/>
      <c r="M86" s="63"/>
      <c r="N86" s="10"/>
      <c r="O86" s="63"/>
      <c r="P86" s="40"/>
    </row>
    <row r="87" spans="1:16" ht="30" customHeight="1" x14ac:dyDescent="0.3">
      <c r="A87" s="27">
        <v>8</v>
      </c>
      <c r="B87" s="28" t="s">
        <v>22</v>
      </c>
      <c r="C87" s="27"/>
      <c r="D87" s="52"/>
      <c r="E87" s="29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27"/>
    </row>
    <row r="88" spans="1:16" ht="30" customHeight="1" x14ac:dyDescent="0.3">
      <c r="A88" s="8">
        <v>1</v>
      </c>
      <c r="B88" s="22" t="s">
        <v>86</v>
      </c>
      <c r="C88" s="8"/>
      <c r="D88" s="47">
        <v>70</v>
      </c>
      <c r="E88" s="9" t="s">
        <v>25</v>
      </c>
      <c r="F88" s="10">
        <v>20000</v>
      </c>
      <c r="G88" s="63">
        <f t="shared" ref="G88:G93" si="40">F88*D88</f>
        <v>1400000</v>
      </c>
      <c r="H88" s="10">
        <v>0</v>
      </c>
      <c r="I88" s="63">
        <f t="shared" ref="I88:I93" si="41">SUM(D88*H88)</f>
        <v>0</v>
      </c>
      <c r="J88" s="10">
        <v>0</v>
      </c>
      <c r="K88" s="63">
        <f t="shared" ref="K88:K93" si="42">D88*J88</f>
        <v>0</v>
      </c>
      <c r="L88" s="10">
        <v>0</v>
      </c>
      <c r="M88" s="63">
        <f t="shared" ref="M88:M93" si="43">D88*L88</f>
        <v>0</v>
      </c>
      <c r="N88" s="10">
        <f t="shared" ref="N88:O93" si="44">H88+J88+L88+F88</f>
        <v>20000</v>
      </c>
      <c r="O88" s="63">
        <f t="shared" si="44"/>
        <v>1400000</v>
      </c>
      <c r="P88" s="19"/>
    </row>
    <row r="89" spans="1:16" ht="30" customHeight="1" x14ac:dyDescent="0.3">
      <c r="A89" s="8">
        <v>2</v>
      </c>
      <c r="B89" s="22" t="s">
        <v>87</v>
      </c>
      <c r="C89" s="8"/>
      <c r="D89" s="47">
        <v>127</v>
      </c>
      <c r="E89" s="9" t="s">
        <v>25</v>
      </c>
      <c r="F89" s="10">
        <v>15000</v>
      </c>
      <c r="G89" s="63">
        <f t="shared" si="40"/>
        <v>1905000</v>
      </c>
      <c r="H89" s="10">
        <v>0</v>
      </c>
      <c r="I89" s="63">
        <f t="shared" si="41"/>
        <v>0</v>
      </c>
      <c r="J89" s="10">
        <v>0</v>
      </c>
      <c r="K89" s="63">
        <f t="shared" si="42"/>
        <v>0</v>
      </c>
      <c r="L89" s="10">
        <v>0</v>
      </c>
      <c r="M89" s="63">
        <f t="shared" si="43"/>
        <v>0</v>
      </c>
      <c r="N89" s="10">
        <f t="shared" si="44"/>
        <v>15000</v>
      </c>
      <c r="O89" s="63">
        <f t="shared" si="44"/>
        <v>1905000</v>
      </c>
      <c r="P89" s="19"/>
    </row>
    <row r="90" spans="1:16" ht="30" customHeight="1" x14ac:dyDescent="0.3">
      <c r="A90" s="8">
        <v>3</v>
      </c>
      <c r="B90" s="22" t="s">
        <v>88</v>
      </c>
      <c r="C90" s="8"/>
      <c r="D90" s="47">
        <v>108</v>
      </c>
      <c r="E90" s="9" t="s">
        <v>25</v>
      </c>
      <c r="F90" s="10">
        <v>38000</v>
      </c>
      <c r="G90" s="63">
        <f t="shared" si="40"/>
        <v>4104000</v>
      </c>
      <c r="H90" s="10">
        <v>0</v>
      </c>
      <c r="I90" s="63">
        <f t="shared" si="41"/>
        <v>0</v>
      </c>
      <c r="J90" s="10">
        <v>0</v>
      </c>
      <c r="K90" s="63">
        <f t="shared" si="42"/>
        <v>0</v>
      </c>
      <c r="L90" s="10">
        <v>0</v>
      </c>
      <c r="M90" s="63">
        <f t="shared" si="43"/>
        <v>0</v>
      </c>
      <c r="N90" s="10">
        <f t="shared" si="44"/>
        <v>38000</v>
      </c>
      <c r="O90" s="63">
        <f t="shared" si="44"/>
        <v>4104000</v>
      </c>
      <c r="P90" s="19"/>
    </row>
    <row r="91" spans="1:16" ht="30" customHeight="1" x14ac:dyDescent="0.3">
      <c r="A91" s="8">
        <v>4</v>
      </c>
      <c r="B91" s="22" t="s">
        <v>89</v>
      </c>
      <c r="C91" s="8"/>
      <c r="D91" s="47">
        <v>4</v>
      </c>
      <c r="E91" s="9" t="s">
        <v>25</v>
      </c>
      <c r="F91" s="10">
        <v>45000</v>
      </c>
      <c r="G91" s="63">
        <f t="shared" si="40"/>
        <v>180000</v>
      </c>
      <c r="H91" s="10">
        <v>0</v>
      </c>
      <c r="I91" s="63">
        <f t="shared" si="41"/>
        <v>0</v>
      </c>
      <c r="J91" s="10">
        <v>0</v>
      </c>
      <c r="K91" s="63">
        <f t="shared" si="42"/>
        <v>0</v>
      </c>
      <c r="L91" s="10">
        <v>0</v>
      </c>
      <c r="M91" s="63">
        <f t="shared" si="43"/>
        <v>0</v>
      </c>
      <c r="N91" s="10">
        <f t="shared" si="44"/>
        <v>45000</v>
      </c>
      <c r="O91" s="63">
        <f t="shared" si="44"/>
        <v>180000</v>
      </c>
      <c r="P91" s="19"/>
    </row>
    <row r="92" spans="1:16" ht="30" customHeight="1" x14ac:dyDescent="0.3">
      <c r="A92" s="8">
        <v>5</v>
      </c>
      <c r="B92" s="22" t="s">
        <v>90</v>
      </c>
      <c r="C92" s="8"/>
      <c r="D92" s="47">
        <v>16</v>
      </c>
      <c r="E92" s="9" t="s">
        <v>25</v>
      </c>
      <c r="F92" s="10">
        <v>15000</v>
      </c>
      <c r="G92" s="63">
        <f t="shared" si="40"/>
        <v>240000</v>
      </c>
      <c r="H92" s="10">
        <v>0</v>
      </c>
      <c r="I92" s="63">
        <f t="shared" si="41"/>
        <v>0</v>
      </c>
      <c r="J92" s="10">
        <v>0</v>
      </c>
      <c r="K92" s="63">
        <f t="shared" si="42"/>
        <v>0</v>
      </c>
      <c r="L92" s="10">
        <v>0</v>
      </c>
      <c r="M92" s="63">
        <f t="shared" si="43"/>
        <v>0</v>
      </c>
      <c r="N92" s="10">
        <f t="shared" si="44"/>
        <v>15000</v>
      </c>
      <c r="O92" s="63">
        <f t="shared" si="44"/>
        <v>240000</v>
      </c>
      <c r="P92" s="19"/>
    </row>
    <row r="93" spans="1:16" ht="30" customHeight="1" x14ac:dyDescent="0.3">
      <c r="A93" s="8">
        <v>6</v>
      </c>
      <c r="B93" s="22" t="s">
        <v>123</v>
      </c>
      <c r="C93" s="8"/>
      <c r="D93" s="47">
        <v>8</v>
      </c>
      <c r="E93" s="9" t="s">
        <v>25</v>
      </c>
      <c r="F93" s="10">
        <v>25000</v>
      </c>
      <c r="G93" s="63">
        <f t="shared" si="40"/>
        <v>200000</v>
      </c>
      <c r="H93" s="10">
        <v>0</v>
      </c>
      <c r="I93" s="63">
        <f t="shared" si="41"/>
        <v>0</v>
      </c>
      <c r="J93" s="10">
        <v>0</v>
      </c>
      <c r="K93" s="63">
        <f t="shared" si="42"/>
        <v>0</v>
      </c>
      <c r="L93" s="10">
        <v>0</v>
      </c>
      <c r="M93" s="63">
        <f t="shared" si="43"/>
        <v>0</v>
      </c>
      <c r="N93" s="10">
        <f t="shared" si="44"/>
        <v>25000</v>
      </c>
      <c r="O93" s="63">
        <f t="shared" si="44"/>
        <v>200000</v>
      </c>
      <c r="P93" s="19"/>
    </row>
    <row r="94" spans="1:16" ht="30" customHeight="1" x14ac:dyDescent="0.3">
      <c r="A94" s="8"/>
      <c r="B94" s="22"/>
      <c r="C94" s="8"/>
      <c r="D94" s="47"/>
      <c r="E94" s="9"/>
      <c r="F94" s="10"/>
      <c r="G94" s="63"/>
      <c r="H94" s="10"/>
      <c r="I94" s="63"/>
      <c r="J94" s="10"/>
      <c r="K94" s="63"/>
      <c r="L94" s="10"/>
      <c r="M94" s="63"/>
      <c r="N94" s="10"/>
      <c r="O94" s="63"/>
      <c r="P94" s="19"/>
    </row>
    <row r="95" spans="1:16" ht="30" customHeight="1" x14ac:dyDescent="0.3">
      <c r="A95" s="11"/>
      <c r="B95" s="25"/>
      <c r="C95" s="8"/>
      <c r="D95" s="47"/>
      <c r="E95" s="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48"/>
    </row>
    <row r="96" spans="1:16" ht="30" customHeight="1" x14ac:dyDescent="0.3">
      <c r="A96" s="32"/>
      <c r="B96" s="32" t="s">
        <v>8</v>
      </c>
      <c r="C96" s="32"/>
      <c r="D96" s="51"/>
      <c r="E96" s="33"/>
      <c r="F96" s="34"/>
      <c r="G96" s="34">
        <f>SUM(G87:G95)</f>
        <v>8029000</v>
      </c>
      <c r="H96" s="34"/>
      <c r="I96" s="34">
        <f>SUM(I87:I95)</f>
        <v>0</v>
      </c>
      <c r="J96" s="34"/>
      <c r="K96" s="34">
        <f>SUM(K87:K95)</f>
        <v>0</v>
      </c>
      <c r="L96" s="34"/>
      <c r="M96" s="34">
        <f>SUM(M87:M95)</f>
        <v>0</v>
      </c>
      <c r="N96" s="34"/>
      <c r="O96" s="34">
        <f>SUM(O87:O95)</f>
        <v>8029000</v>
      </c>
      <c r="P96" s="72" t="s">
        <v>142</v>
      </c>
    </row>
    <row r="97" spans="1:16" ht="30" customHeight="1" x14ac:dyDescent="0.3">
      <c r="A97" s="8"/>
      <c r="B97" s="22"/>
      <c r="C97" s="8"/>
      <c r="D97" s="47"/>
      <c r="E97" s="9"/>
      <c r="F97" s="10"/>
      <c r="G97" s="63"/>
      <c r="H97" s="10"/>
      <c r="I97" s="63"/>
      <c r="J97" s="10"/>
      <c r="K97" s="63"/>
      <c r="L97" s="10"/>
      <c r="M97" s="63"/>
      <c r="N97" s="10"/>
      <c r="O97" s="63"/>
      <c r="P97" s="40"/>
    </row>
    <row r="98" spans="1:16" ht="30" customHeight="1" x14ac:dyDescent="0.3">
      <c r="A98" s="27">
        <v>9</v>
      </c>
      <c r="B98" s="28" t="s">
        <v>53</v>
      </c>
      <c r="C98" s="30"/>
      <c r="D98" s="52"/>
      <c r="E98" s="29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40"/>
    </row>
    <row r="99" spans="1:16" ht="30" customHeight="1" x14ac:dyDescent="0.3">
      <c r="A99" s="8">
        <v>1</v>
      </c>
      <c r="B99" s="22" t="s">
        <v>143</v>
      </c>
      <c r="C99" s="8"/>
      <c r="D99" s="47">
        <v>170</v>
      </c>
      <c r="E99" s="9" t="s">
        <v>147</v>
      </c>
      <c r="F99" s="10">
        <v>15000</v>
      </c>
      <c r="G99" s="63">
        <f>F99*D99</f>
        <v>2550000</v>
      </c>
      <c r="H99" s="10">
        <v>0</v>
      </c>
      <c r="I99" s="63">
        <f>SUM(D99*H99)</f>
        <v>0</v>
      </c>
      <c r="J99" s="10">
        <v>0</v>
      </c>
      <c r="K99" s="63">
        <f>D99*J99</f>
        <v>0</v>
      </c>
      <c r="L99" s="10">
        <v>0</v>
      </c>
      <c r="M99" s="63">
        <f>D99*L99</f>
        <v>0</v>
      </c>
      <c r="N99" s="10">
        <f t="shared" ref="N99:O101" si="45">H99+J99+L99+F99</f>
        <v>15000</v>
      </c>
      <c r="O99" s="63">
        <f t="shared" si="45"/>
        <v>2550000</v>
      </c>
      <c r="P99" s="30"/>
    </row>
    <row r="100" spans="1:16" ht="30" customHeight="1" x14ac:dyDescent="0.3">
      <c r="A100" s="8">
        <v>2</v>
      </c>
      <c r="B100" s="22" t="s">
        <v>144</v>
      </c>
      <c r="C100" s="8"/>
      <c r="D100" s="47">
        <v>10</v>
      </c>
      <c r="E100" s="9" t="s">
        <v>139</v>
      </c>
      <c r="F100" s="10">
        <v>260000</v>
      </c>
      <c r="G100" s="63">
        <f>F100*D100</f>
        <v>2600000</v>
      </c>
      <c r="H100" s="10">
        <v>0</v>
      </c>
      <c r="I100" s="63">
        <f>SUM(D100*H100)</f>
        <v>0</v>
      </c>
      <c r="J100" s="10">
        <v>0</v>
      </c>
      <c r="K100" s="63">
        <f>D100*J100</f>
        <v>0</v>
      </c>
      <c r="L100" s="10">
        <v>0</v>
      </c>
      <c r="M100" s="63">
        <f>D100*L100</f>
        <v>0</v>
      </c>
      <c r="N100" s="10">
        <f t="shared" si="45"/>
        <v>260000</v>
      </c>
      <c r="O100" s="63">
        <f t="shared" si="45"/>
        <v>2600000</v>
      </c>
      <c r="P100" s="30"/>
    </row>
    <row r="101" spans="1:16" ht="30" customHeight="1" x14ac:dyDescent="0.3">
      <c r="A101" s="8">
        <v>3</v>
      </c>
      <c r="B101" s="22" t="s">
        <v>145</v>
      </c>
      <c r="C101" s="8"/>
      <c r="D101" s="47">
        <v>1</v>
      </c>
      <c r="E101" s="9" t="s">
        <v>146</v>
      </c>
      <c r="F101" s="10">
        <v>500000</v>
      </c>
      <c r="G101" s="63">
        <f>F101*D101</f>
        <v>500000</v>
      </c>
      <c r="H101" s="10">
        <v>0</v>
      </c>
      <c r="I101" s="63">
        <f>SUM(D101*H101)</f>
        <v>0</v>
      </c>
      <c r="J101" s="10">
        <v>0</v>
      </c>
      <c r="K101" s="63">
        <f>D101*J101</f>
        <v>0</v>
      </c>
      <c r="L101" s="10">
        <v>0</v>
      </c>
      <c r="M101" s="63">
        <f>D101*L101</f>
        <v>0</v>
      </c>
      <c r="N101" s="10">
        <f t="shared" si="45"/>
        <v>500000</v>
      </c>
      <c r="O101" s="63">
        <f t="shared" si="45"/>
        <v>500000</v>
      </c>
      <c r="P101" s="30"/>
    </row>
    <row r="102" spans="1:16" ht="30" customHeight="1" x14ac:dyDescent="0.3">
      <c r="A102" s="8"/>
      <c r="B102" s="22"/>
      <c r="C102" s="8"/>
      <c r="D102" s="47"/>
      <c r="E102" s="9"/>
      <c r="F102" s="10"/>
      <c r="G102" s="63"/>
      <c r="H102" s="70"/>
      <c r="I102" s="63"/>
      <c r="J102" s="10"/>
      <c r="K102" s="63"/>
      <c r="L102" s="10"/>
      <c r="M102" s="63"/>
      <c r="N102" s="10"/>
      <c r="O102" s="63"/>
      <c r="P102" s="30"/>
    </row>
    <row r="103" spans="1:16" ht="30" customHeight="1" x14ac:dyDescent="0.3">
      <c r="A103" s="44"/>
      <c r="B103" s="33" t="s">
        <v>8</v>
      </c>
      <c r="C103" s="44"/>
      <c r="D103" s="53"/>
      <c r="E103" s="45"/>
      <c r="F103" s="69"/>
      <c r="G103" s="62">
        <f>SUM(G97:G102)</f>
        <v>5650000</v>
      </c>
      <c r="H103" s="69"/>
      <c r="I103" s="62">
        <f>SUM(I97:I102)</f>
        <v>0</v>
      </c>
      <c r="J103" s="69"/>
      <c r="K103" s="62">
        <f>SUM(K97:K102)</f>
        <v>0</v>
      </c>
      <c r="L103" s="69"/>
      <c r="M103" s="62">
        <f>SUM(M97:M102)</f>
        <v>0</v>
      </c>
      <c r="N103" s="69"/>
      <c r="O103" s="62">
        <f>SUM(O97:O102)</f>
        <v>5650000</v>
      </c>
      <c r="P103" s="32"/>
    </row>
    <row r="104" spans="1:16" ht="30" customHeight="1" x14ac:dyDescent="0.3">
      <c r="A104" s="27"/>
      <c r="B104" s="27"/>
      <c r="C104" s="27"/>
      <c r="D104" s="52"/>
      <c r="E104" s="2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27"/>
    </row>
    <row r="105" spans="1:16" ht="30" customHeight="1" x14ac:dyDescent="0.3">
      <c r="A105" s="27">
        <v>10</v>
      </c>
      <c r="B105" s="28" t="s">
        <v>62</v>
      </c>
      <c r="C105" s="27"/>
      <c r="D105" s="52"/>
      <c r="E105" s="29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27"/>
    </row>
    <row r="106" spans="1:16" ht="30" customHeight="1" x14ac:dyDescent="0.3">
      <c r="A106" s="8">
        <v>1</v>
      </c>
      <c r="B106" s="17" t="s">
        <v>93</v>
      </c>
      <c r="C106" s="8" t="s">
        <v>9</v>
      </c>
      <c r="D106" s="47">
        <v>1</v>
      </c>
      <c r="E106" s="9" t="s">
        <v>10</v>
      </c>
      <c r="F106" s="10">
        <v>1400000</v>
      </c>
      <c r="G106" s="63">
        <f t="shared" ref="G106:G111" si="46">F106*D106</f>
        <v>1400000</v>
      </c>
      <c r="H106" s="10">
        <v>0</v>
      </c>
      <c r="I106" s="63">
        <f t="shared" ref="I106:I111" si="47">SUM(D106*H106)</f>
        <v>0</v>
      </c>
      <c r="J106" s="10">
        <v>0</v>
      </c>
      <c r="K106" s="63">
        <f t="shared" ref="K106:K111" si="48">D106*J106</f>
        <v>0</v>
      </c>
      <c r="L106" s="10">
        <v>0</v>
      </c>
      <c r="M106" s="63">
        <f t="shared" ref="M106:M111" si="49">D106*L106</f>
        <v>0</v>
      </c>
      <c r="N106" s="10">
        <f t="shared" ref="N106:O111" si="50">H106+J106+L106+F106</f>
        <v>1400000</v>
      </c>
      <c r="O106" s="63">
        <f t="shared" si="50"/>
        <v>1400000</v>
      </c>
      <c r="P106" s="30"/>
    </row>
    <row r="107" spans="1:16" ht="30" customHeight="1" x14ac:dyDescent="0.3">
      <c r="A107" s="8">
        <v>2</v>
      </c>
      <c r="B107" s="49" t="s">
        <v>94</v>
      </c>
      <c r="C107" s="8" t="s">
        <v>9</v>
      </c>
      <c r="D107" s="47">
        <v>1</v>
      </c>
      <c r="E107" s="9" t="s">
        <v>10</v>
      </c>
      <c r="F107" s="10">
        <v>830000</v>
      </c>
      <c r="G107" s="63">
        <f t="shared" si="46"/>
        <v>830000</v>
      </c>
      <c r="H107" s="10">
        <v>0</v>
      </c>
      <c r="I107" s="63">
        <f t="shared" si="47"/>
        <v>0</v>
      </c>
      <c r="J107" s="10">
        <v>0</v>
      </c>
      <c r="K107" s="63">
        <f t="shared" si="48"/>
        <v>0</v>
      </c>
      <c r="L107" s="10">
        <v>0</v>
      </c>
      <c r="M107" s="63">
        <f t="shared" si="49"/>
        <v>0</v>
      </c>
      <c r="N107" s="10">
        <f t="shared" si="50"/>
        <v>830000</v>
      </c>
      <c r="O107" s="63">
        <f t="shared" si="50"/>
        <v>830000</v>
      </c>
      <c r="P107" s="2"/>
    </row>
    <row r="108" spans="1:16" ht="30" customHeight="1" x14ac:dyDescent="0.3">
      <c r="A108" s="8">
        <v>3</v>
      </c>
      <c r="B108" s="49" t="s">
        <v>95</v>
      </c>
      <c r="C108" s="8" t="s">
        <v>9</v>
      </c>
      <c r="D108" s="47">
        <v>1</v>
      </c>
      <c r="E108" s="9" t="s">
        <v>10</v>
      </c>
      <c r="F108" s="10">
        <v>780000</v>
      </c>
      <c r="G108" s="63">
        <f t="shared" si="46"/>
        <v>780000</v>
      </c>
      <c r="H108" s="10">
        <v>0</v>
      </c>
      <c r="I108" s="63">
        <f t="shared" si="47"/>
        <v>0</v>
      </c>
      <c r="J108" s="10">
        <v>0</v>
      </c>
      <c r="K108" s="63">
        <f t="shared" si="48"/>
        <v>0</v>
      </c>
      <c r="L108" s="10">
        <v>0</v>
      </c>
      <c r="M108" s="63">
        <f t="shared" si="49"/>
        <v>0</v>
      </c>
      <c r="N108" s="10">
        <f t="shared" si="50"/>
        <v>780000</v>
      </c>
      <c r="O108" s="63">
        <f t="shared" si="50"/>
        <v>780000</v>
      </c>
      <c r="P108" s="2"/>
    </row>
    <row r="109" spans="1:16" ht="30" customHeight="1" x14ac:dyDescent="0.3">
      <c r="A109" s="8">
        <v>4</v>
      </c>
      <c r="B109" s="22" t="s">
        <v>96</v>
      </c>
      <c r="C109" s="8" t="s">
        <v>9</v>
      </c>
      <c r="D109" s="47">
        <v>1</v>
      </c>
      <c r="E109" s="9" t="s">
        <v>10</v>
      </c>
      <c r="F109" s="10">
        <v>700000</v>
      </c>
      <c r="G109" s="63">
        <f t="shared" si="46"/>
        <v>700000</v>
      </c>
      <c r="H109" s="10">
        <v>0</v>
      </c>
      <c r="I109" s="63">
        <f t="shared" si="47"/>
        <v>0</v>
      </c>
      <c r="J109" s="10">
        <v>0</v>
      </c>
      <c r="K109" s="63">
        <f t="shared" si="48"/>
        <v>0</v>
      </c>
      <c r="L109" s="10">
        <v>0</v>
      </c>
      <c r="M109" s="63">
        <f t="shared" si="49"/>
        <v>0</v>
      </c>
      <c r="N109" s="10">
        <f t="shared" si="50"/>
        <v>700000</v>
      </c>
      <c r="O109" s="63">
        <f t="shared" si="50"/>
        <v>700000</v>
      </c>
      <c r="P109" s="30"/>
    </row>
    <row r="110" spans="1:16" ht="30" customHeight="1" x14ac:dyDescent="0.3">
      <c r="A110" s="8">
        <v>5</v>
      </c>
      <c r="B110" s="22" t="s">
        <v>97</v>
      </c>
      <c r="C110" s="8" t="s">
        <v>9</v>
      </c>
      <c r="D110" s="47">
        <v>1</v>
      </c>
      <c r="E110" s="9" t="s">
        <v>10</v>
      </c>
      <c r="F110" s="10">
        <v>250000</v>
      </c>
      <c r="G110" s="63">
        <f t="shared" si="46"/>
        <v>250000</v>
      </c>
      <c r="H110" s="10">
        <v>0</v>
      </c>
      <c r="I110" s="63">
        <f t="shared" si="47"/>
        <v>0</v>
      </c>
      <c r="J110" s="10">
        <v>0</v>
      </c>
      <c r="K110" s="63">
        <f t="shared" si="48"/>
        <v>0</v>
      </c>
      <c r="L110" s="10">
        <v>0</v>
      </c>
      <c r="M110" s="63">
        <f t="shared" si="49"/>
        <v>0</v>
      </c>
      <c r="N110" s="10">
        <f t="shared" si="50"/>
        <v>250000</v>
      </c>
      <c r="O110" s="63">
        <f t="shared" si="50"/>
        <v>250000</v>
      </c>
      <c r="P110" s="30"/>
    </row>
    <row r="111" spans="1:16" ht="30" customHeight="1" x14ac:dyDescent="0.3">
      <c r="A111" s="8">
        <v>6</v>
      </c>
      <c r="B111" s="22" t="s">
        <v>99</v>
      </c>
      <c r="C111" s="8" t="s">
        <v>9</v>
      </c>
      <c r="D111" s="47">
        <v>1</v>
      </c>
      <c r="E111" s="9" t="s">
        <v>10</v>
      </c>
      <c r="F111" s="10">
        <v>230000</v>
      </c>
      <c r="G111" s="63">
        <f t="shared" si="46"/>
        <v>230000</v>
      </c>
      <c r="H111" s="10">
        <v>0</v>
      </c>
      <c r="I111" s="63">
        <f t="shared" si="47"/>
        <v>0</v>
      </c>
      <c r="J111" s="10">
        <v>0</v>
      </c>
      <c r="K111" s="63">
        <f t="shared" si="48"/>
        <v>0</v>
      </c>
      <c r="L111" s="10">
        <v>0</v>
      </c>
      <c r="M111" s="63">
        <f t="shared" si="49"/>
        <v>0</v>
      </c>
      <c r="N111" s="10">
        <f t="shared" si="50"/>
        <v>230000</v>
      </c>
      <c r="O111" s="63">
        <f t="shared" si="50"/>
        <v>230000</v>
      </c>
      <c r="P111" s="30"/>
    </row>
    <row r="112" spans="1:16" ht="30" customHeight="1" x14ac:dyDescent="0.3">
      <c r="A112" s="8">
        <v>7</v>
      </c>
      <c r="B112" s="22" t="s">
        <v>195</v>
      </c>
      <c r="C112" s="8" t="s">
        <v>9</v>
      </c>
      <c r="D112" s="47">
        <v>1</v>
      </c>
      <c r="E112" s="9" t="s">
        <v>10</v>
      </c>
      <c r="F112" s="10">
        <v>200000</v>
      </c>
      <c r="G112" s="63">
        <f t="shared" ref="G112" si="51">F112*D112</f>
        <v>200000</v>
      </c>
      <c r="H112" s="10">
        <v>0</v>
      </c>
      <c r="I112" s="63">
        <f t="shared" ref="I112" si="52">SUM(D112*H112)</f>
        <v>0</v>
      </c>
      <c r="J112" s="10">
        <v>0</v>
      </c>
      <c r="K112" s="63">
        <f t="shared" ref="K112" si="53">D112*J112</f>
        <v>0</v>
      </c>
      <c r="L112" s="10">
        <v>0</v>
      </c>
      <c r="M112" s="63">
        <f t="shared" ref="M112" si="54">D112*L112</f>
        <v>0</v>
      </c>
      <c r="N112" s="10">
        <f t="shared" ref="N112" si="55">H112+J112+L112+F112</f>
        <v>200000</v>
      </c>
      <c r="O112" s="63">
        <f t="shared" ref="O112" si="56">I112+K112+M112+G112</f>
        <v>200000</v>
      </c>
      <c r="P112" s="30"/>
    </row>
    <row r="113" spans="1:16" ht="30" customHeight="1" x14ac:dyDescent="0.3">
      <c r="A113" s="8"/>
      <c r="B113" s="22"/>
      <c r="C113" s="8"/>
      <c r="D113" s="54"/>
      <c r="E113" s="9"/>
      <c r="F113" s="10"/>
      <c r="G113" s="63"/>
      <c r="H113" s="10"/>
      <c r="I113" s="63"/>
      <c r="J113" s="10"/>
      <c r="K113" s="63"/>
      <c r="L113" s="10"/>
      <c r="M113" s="63"/>
      <c r="N113" s="10"/>
      <c r="O113" s="63"/>
      <c r="P113" s="30"/>
    </row>
    <row r="114" spans="1:16" ht="30" customHeight="1" x14ac:dyDescent="0.3">
      <c r="A114" s="8"/>
      <c r="B114" s="22"/>
      <c r="C114" s="8"/>
      <c r="D114" s="54"/>
      <c r="E114" s="9"/>
      <c r="F114" s="10"/>
      <c r="G114" s="63"/>
      <c r="H114" s="10"/>
      <c r="I114" s="63"/>
      <c r="J114" s="10"/>
      <c r="K114" s="63"/>
      <c r="L114" s="10"/>
      <c r="M114" s="63"/>
      <c r="N114" s="10"/>
      <c r="O114" s="63"/>
      <c r="P114" s="19"/>
    </row>
    <row r="115" spans="1:16" ht="30" customHeight="1" x14ac:dyDescent="0.3">
      <c r="A115" s="32"/>
      <c r="B115" s="32" t="s">
        <v>8</v>
      </c>
      <c r="C115" s="32"/>
      <c r="D115" s="51"/>
      <c r="E115" s="33"/>
      <c r="F115" s="34"/>
      <c r="G115" s="34">
        <f>SUM(G104:G114)</f>
        <v>4390000</v>
      </c>
      <c r="H115" s="34"/>
      <c r="I115" s="34">
        <f>SUM(I104:I114)</f>
        <v>0</v>
      </c>
      <c r="J115" s="34"/>
      <c r="K115" s="34">
        <f>SUM(K104:K114)</f>
        <v>0</v>
      </c>
      <c r="L115" s="34"/>
      <c r="M115" s="34">
        <f>SUM(M104:M114)</f>
        <v>0</v>
      </c>
      <c r="N115" s="34"/>
      <c r="O115" s="34">
        <f>SUM(O104:O114)</f>
        <v>4390000</v>
      </c>
      <c r="P115" s="33"/>
    </row>
    <row r="116" spans="1:16" ht="30" customHeight="1" x14ac:dyDescent="0.3">
      <c r="A116" s="27"/>
      <c r="B116" s="27"/>
      <c r="C116" s="27"/>
      <c r="D116" s="52"/>
      <c r="E116" s="2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27"/>
    </row>
    <row r="117" spans="1:16" ht="30" customHeight="1" x14ac:dyDescent="0.3">
      <c r="A117" s="27">
        <v>11</v>
      </c>
      <c r="B117" s="28" t="s">
        <v>46</v>
      </c>
      <c r="C117" s="27"/>
      <c r="D117" s="52"/>
      <c r="E117" s="29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27"/>
    </row>
    <row r="118" spans="1:16" ht="30" customHeight="1" x14ac:dyDescent="0.3">
      <c r="A118" s="8">
        <v>1</v>
      </c>
      <c r="B118" s="22" t="s">
        <v>52</v>
      </c>
      <c r="C118" s="8" t="s">
        <v>9</v>
      </c>
      <c r="D118" s="47">
        <v>1</v>
      </c>
      <c r="E118" s="9" t="s">
        <v>10</v>
      </c>
      <c r="F118" s="10">
        <v>0</v>
      </c>
      <c r="G118" s="63">
        <f>F118*D118</f>
        <v>0</v>
      </c>
      <c r="H118" s="10">
        <v>1670000</v>
      </c>
      <c r="I118" s="63">
        <f>SUM(D118*H118)</f>
        <v>1670000</v>
      </c>
      <c r="J118" s="10">
        <v>0</v>
      </c>
      <c r="K118" s="63">
        <f>D118*J118</f>
        <v>0</v>
      </c>
      <c r="L118" s="10">
        <v>0</v>
      </c>
      <c r="M118" s="63">
        <f>D118*L118</f>
        <v>0</v>
      </c>
      <c r="N118" s="10">
        <f>H118+J118+L118+F118</f>
        <v>1670000</v>
      </c>
      <c r="O118" s="63">
        <f>I118+K118+M118+G118</f>
        <v>1670000</v>
      </c>
      <c r="P118" s="30"/>
    </row>
    <row r="119" spans="1:16" ht="30" customHeight="1" x14ac:dyDescent="0.3">
      <c r="A119" s="8"/>
      <c r="B119" s="22"/>
      <c r="C119" s="8"/>
      <c r="D119" s="47"/>
      <c r="E119" s="9"/>
      <c r="F119" s="10"/>
      <c r="G119" s="63"/>
      <c r="H119" s="10"/>
      <c r="I119" s="63"/>
      <c r="J119" s="10"/>
      <c r="K119" s="63"/>
      <c r="L119" s="10"/>
      <c r="M119" s="63"/>
      <c r="N119" s="10"/>
      <c r="O119" s="63"/>
      <c r="P119" s="30"/>
    </row>
    <row r="120" spans="1:16" ht="30" customHeight="1" x14ac:dyDescent="0.3">
      <c r="A120" s="8"/>
      <c r="B120" s="22"/>
      <c r="C120" s="8"/>
      <c r="D120" s="54"/>
      <c r="E120" s="9"/>
      <c r="F120" s="10"/>
      <c r="G120" s="63"/>
      <c r="H120" s="10"/>
      <c r="I120" s="63"/>
      <c r="J120" s="10"/>
      <c r="K120" s="63"/>
      <c r="L120" s="10"/>
      <c r="M120" s="63"/>
      <c r="N120" s="10"/>
      <c r="O120" s="63"/>
      <c r="P120" s="19"/>
    </row>
    <row r="121" spans="1:16" ht="30" customHeight="1" x14ac:dyDescent="0.3">
      <c r="A121" s="32"/>
      <c r="B121" s="32" t="s">
        <v>8</v>
      </c>
      <c r="C121" s="32"/>
      <c r="D121" s="51"/>
      <c r="E121" s="33"/>
      <c r="F121" s="34"/>
      <c r="G121" s="34">
        <f>SUM(G116:G118)</f>
        <v>0</v>
      </c>
      <c r="H121" s="34"/>
      <c r="I121" s="34">
        <f>SUM(I116:I118)</f>
        <v>1670000</v>
      </c>
      <c r="J121" s="34"/>
      <c r="K121" s="34">
        <f>SUM(K116:K118)</f>
        <v>0</v>
      </c>
      <c r="L121" s="34"/>
      <c r="M121" s="34">
        <f>SUM(M116:M118)</f>
        <v>0</v>
      </c>
      <c r="N121" s="34"/>
      <c r="O121" s="34">
        <f>SUM(O116:O120)</f>
        <v>1670000</v>
      </c>
      <c r="P121" s="33"/>
    </row>
    <row r="122" spans="1:16" ht="30" customHeight="1" x14ac:dyDescent="0.3">
      <c r="A122" s="27"/>
      <c r="B122" s="27"/>
      <c r="C122" s="27"/>
      <c r="D122" s="52"/>
      <c r="E122" s="29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27"/>
    </row>
    <row r="123" spans="1:16" ht="30" customHeight="1" x14ac:dyDescent="0.3">
      <c r="A123" s="74">
        <v>12</v>
      </c>
      <c r="B123" s="75" t="s">
        <v>92</v>
      </c>
      <c r="C123" s="74"/>
      <c r="D123" s="76"/>
      <c r="E123" s="77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4"/>
    </row>
    <row r="124" spans="1:16" ht="30" customHeight="1" x14ac:dyDescent="0.3">
      <c r="A124" s="79">
        <v>1</v>
      </c>
      <c r="B124" s="80" t="s">
        <v>100</v>
      </c>
      <c r="C124" s="79"/>
      <c r="D124" s="81">
        <v>190</v>
      </c>
      <c r="E124" s="82" t="s">
        <v>198</v>
      </c>
      <c r="F124" s="83">
        <v>0</v>
      </c>
      <c r="G124" s="84">
        <f>F124*D124</f>
        <v>0</v>
      </c>
      <c r="H124" s="83">
        <v>1000</v>
      </c>
      <c r="I124" s="84">
        <f>SUM(D124*H124)</f>
        <v>190000</v>
      </c>
      <c r="J124" s="83">
        <v>0</v>
      </c>
      <c r="K124" s="84">
        <f>D124*J124</f>
        <v>0</v>
      </c>
      <c r="L124" s="83">
        <v>500</v>
      </c>
      <c r="M124" s="84">
        <f>D124*L124</f>
        <v>95000</v>
      </c>
      <c r="N124" s="83">
        <f t="shared" ref="N124:O127" si="57">H124+J124+L124+F124</f>
        <v>1500</v>
      </c>
      <c r="O124" s="84">
        <f t="shared" si="57"/>
        <v>285000</v>
      </c>
      <c r="P124" s="85"/>
    </row>
    <row r="125" spans="1:16" ht="30" customHeight="1" x14ac:dyDescent="0.3">
      <c r="A125" s="79">
        <v>2</v>
      </c>
      <c r="B125" s="86" t="s">
        <v>101</v>
      </c>
      <c r="C125" s="79"/>
      <c r="D125" s="81">
        <v>1</v>
      </c>
      <c r="E125" s="82" t="s">
        <v>132</v>
      </c>
      <c r="F125" s="83">
        <v>0</v>
      </c>
      <c r="G125" s="84">
        <f>F125*D125</f>
        <v>0</v>
      </c>
      <c r="H125" s="83">
        <v>0</v>
      </c>
      <c r="I125" s="84">
        <f>SUM(D125*H125)</f>
        <v>0</v>
      </c>
      <c r="J125" s="83">
        <f>380000+200000</f>
        <v>580000</v>
      </c>
      <c r="K125" s="84">
        <f>D125*J125</f>
        <v>580000</v>
      </c>
      <c r="L125" s="83">
        <v>0</v>
      </c>
      <c r="M125" s="84">
        <f>D125*L125</f>
        <v>0</v>
      </c>
      <c r="N125" s="83">
        <f t="shared" si="57"/>
        <v>580000</v>
      </c>
      <c r="O125" s="84">
        <f t="shared" si="57"/>
        <v>580000</v>
      </c>
      <c r="P125" s="87" t="s">
        <v>200</v>
      </c>
    </row>
    <row r="126" spans="1:16" ht="30" customHeight="1" x14ac:dyDescent="0.3">
      <c r="A126" s="79">
        <v>3</v>
      </c>
      <c r="B126" s="86" t="s">
        <v>102</v>
      </c>
      <c r="C126" s="79"/>
      <c r="D126" s="81">
        <v>1</v>
      </c>
      <c r="E126" s="82" t="s">
        <v>199</v>
      </c>
      <c r="F126" s="83">
        <v>0</v>
      </c>
      <c r="G126" s="84">
        <f>F126*D126</f>
        <v>0</v>
      </c>
      <c r="H126" s="83">
        <v>0</v>
      </c>
      <c r="I126" s="84">
        <f>SUM(D126*H126)</f>
        <v>0</v>
      </c>
      <c r="J126" s="83">
        <v>250000</v>
      </c>
      <c r="K126" s="84">
        <f>D126*J126</f>
        <v>250000</v>
      </c>
      <c r="L126" s="83">
        <v>0</v>
      </c>
      <c r="M126" s="84">
        <f>D126*L126</f>
        <v>0</v>
      </c>
      <c r="N126" s="83">
        <f t="shared" si="57"/>
        <v>250000</v>
      </c>
      <c r="O126" s="84">
        <f t="shared" si="57"/>
        <v>250000</v>
      </c>
      <c r="P126" s="87"/>
    </row>
    <row r="127" spans="1:16" ht="30" customHeight="1" x14ac:dyDescent="0.3">
      <c r="A127" s="79">
        <v>4</v>
      </c>
      <c r="B127" s="80" t="s">
        <v>103</v>
      </c>
      <c r="C127" s="79"/>
      <c r="D127" s="88">
        <v>1</v>
      </c>
      <c r="E127" s="82" t="s">
        <v>10</v>
      </c>
      <c r="F127" s="83">
        <v>0</v>
      </c>
      <c r="G127" s="84">
        <f>F127*D127</f>
        <v>0</v>
      </c>
      <c r="H127" s="83">
        <v>50000</v>
      </c>
      <c r="I127" s="84">
        <f>SUM(D127*H127)</f>
        <v>50000</v>
      </c>
      <c r="J127" s="83">
        <v>0</v>
      </c>
      <c r="K127" s="84">
        <f>D127*J127</f>
        <v>0</v>
      </c>
      <c r="L127" s="83">
        <v>50000</v>
      </c>
      <c r="M127" s="84">
        <f>D127*L127</f>
        <v>50000</v>
      </c>
      <c r="N127" s="83">
        <f t="shared" si="57"/>
        <v>100000</v>
      </c>
      <c r="O127" s="84">
        <f t="shared" si="57"/>
        <v>100000</v>
      </c>
      <c r="P127" s="85"/>
    </row>
    <row r="128" spans="1:16" ht="30" customHeight="1" x14ac:dyDescent="0.3">
      <c r="A128" s="79"/>
      <c r="B128" s="80"/>
      <c r="C128" s="79"/>
      <c r="D128" s="88"/>
      <c r="E128" s="82"/>
      <c r="F128" s="83"/>
      <c r="G128" s="84"/>
      <c r="H128" s="83"/>
      <c r="I128" s="84"/>
      <c r="J128" s="83"/>
      <c r="K128" s="84"/>
      <c r="L128" s="83"/>
      <c r="M128" s="84"/>
      <c r="N128" s="83"/>
      <c r="O128" s="84"/>
      <c r="P128" s="85"/>
    </row>
    <row r="129" spans="1:16" ht="30" customHeight="1" x14ac:dyDescent="0.3">
      <c r="A129" s="79"/>
      <c r="B129" s="80"/>
      <c r="C129" s="79"/>
      <c r="D129" s="88"/>
      <c r="E129" s="82"/>
      <c r="F129" s="83"/>
      <c r="G129" s="84"/>
      <c r="H129" s="83"/>
      <c r="I129" s="84"/>
      <c r="J129" s="83"/>
      <c r="K129" s="84"/>
      <c r="L129" s="83"/>
      <c r="M129" s="84"/>
      <c r="N129" s="83"/>
      <c r="O129" s="84"/>
      <c r="P129" s="87"/>
    </row>
    <row r="130" spans="1:16" ht="30" customHeight="1" x14ac:dyDescent="0.3">
      <c r="A130" s="32"/>
      <c r="B130" s="32" t="s">
        <v>8</v>
      </c>
      <c r="C130" s="32"/>
      <c r="D130" s="51"/>
      <c r="E130" s="33"/>
      <c r="F130" s="34"/>
      <c r="G130" s="34">
        <f>SUM(G122:G129)</f>
        <v>0</v>
      </c>
      <c r="H130" s="34"/>
      <c r="I130" s="34">
        <f>SUM(I122:I129)</f>
        <v>240000</v>
      </c>
      <c r="J130" s="34"/>
      <c r="K130" s="34">
        <f>SUM(K122:K129)</f>
        <v>830000</v>
      </c>
      <c r="L130" s="34"/>
      <c r="M130" s="34">
        <f>SUM(M122:M129)</f>
        <v>145000</v>
      </c>
      <c r="N130" s="34"/>
      <c r="O130" s="34">
        <f>SUM(O122:O129)</f>
        <v>1215000</v>
      </c>
      <c r="P130" s="33"/>
    </row>
    <row r="131" spans="1:16" ht="30" customHeight="1" x14ac:dyDescent="0.3">
      <c r="A131" s="27"/>
      <c r="B131" s="27"/>
      <c r="C131" s="27"/>
      <c r="D131" s="52"/>
      <c r="E131" s="29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27"/>
    </row>
    <row r="132" spans="1:16" ht="30" customHeight="1" x14ac:dyDescent="0.3">
      <c r="A132" s="27">
        <v>13</v>
      </c>
      <c r="B132" s="28" t="s">
        <v>26</v>
      </c>
      <c r="C132" s="27"/>
      <c r="D132" s="52"/>
      <c r="E132" s="29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27"/>
    </row>
    <row r="133" spans="1:16" ht="30" customHeight="1" x14ac:dyDescent="0.3">
      <c r="A133" s="8">
        <v>1</v>
      </c>
      <c r="B133" s="56" t="s">
        <v>109</v>
      </c>
      <c r="C133" s="46" t="s">
        <v>196</v>
      </c>
      <c r="D133" s="47">
        <v>35</v>
      </c>
      <c r="E133" s="9" t="s">
        <v>11</v>
      </c>
      <c r="F133" s="10">
        <v>0</v>
      </c>
      <c r="G133" s="63">
        <f t="shared" ref="G133:G141" si="58">F133*D133</f>
        <v>0</v>
      </c>
      <c r="H133" s="10">
        <v>30500</v>
      </c>
      <c r="I133" s="63">
        <f t="shared" ref="I133:I141" si="59">SUM(D133*H133)</f>
        <v>1067500</v>
      </c>
      <c r="J133" s="10">
        <v>0</v>
      </c>
      <c r="K133" s="63">
        <f t="shared" ref="K133:K141" si="60">D133*J133</f>
        <v>0</v>
      </c>
      <c r="L133" s="10">
        <v>0</v>
      </c>
      <c r="M133" s="63">
        <f t="shared" ref="M133:M141" si="61">D133*L133</f>
        <v>0</v>
      </c>
      <c r="N133" s="10">
        <f t="shared" ref="N133:N145" si="62">H133+J133+L133+F133</f>
        <v>30500</v>
      </c>
      <c r="O133" s="63">
        <f t="shared" ref="O133:O145" si="63">I133+K133+M133+G133</f>
        <v>1067500</v>
      </c>
      <c r="P133" s="29"/>
    </row>
    <row r="134" spans="1:16" ht="30" customHeight="1" x14ac:dyDescent="0.3">
      <c r="A134" s="8">
        <v>2</v>
      </c>
      <c r="B134" s="56" t="s">
        <v>110</v>
      </c>
      <c r="C134" s="46" t="s">
        <v>104</v>
      </c>
      <c r="D134" s="47">
        <v>1</v>
      </c>
      <c r="E134" s="9" t="s">
        <v>11</v>
      </c>
      <c r="F134" s="10">
        <v>0</v>
      </c>
      <c r="G134" s="63">
        <f>F134*D134</f>
        <v>0</v>
      </c>
      <c r="H134" s="10">
        <v>73000</v>
      </c>
      <c r="I134" s="63">
        <f>SUM(D134*H134)</f>
        <v>73000</v>
      </c>
      <c r="J134" s="10">
        <v>0</v>
      </c>
      <c r="K134" s="63">
        <f>D134*J134</f>
        <v>0</v>
      </c>
      <c r="L134" s="10">
        <v>0</v>
      </c>
      <c r="M134" s="63">
        <f>D134*L134</f>
        <v>0</v>
      </c>
      <c r="N134" s="10">
        <f t="shared" si="62"/>
        <v>73000</v>
      </c>
      <c r="O134" s="63">
        <f t="shared" si="63"/>
        <v>73000</v>
      </c>
      <c r="P134" s="29"/>
    </row>
    <row r="135" spans="1:16" ht="30" customHeight="1" x14ac:dyDescent="0.3">
      <c r="A135" s="8">
        <v>3</v>
      </c>
      <c r="B135" s="56" t="s">
        <v>111</v>
      </c>
      <c r="C135" s="46" t="s">
        <v>104</v>
      </c>
      <c r="D135" s="47">
        <v>1</v>
      </c>
      <c r="E135" s="9" t="s">
        <v>11</v>
      </c>
      <c r="F135" s="10">
        <v>0</v>
      </c>
      <c r="G135" s="63">
        <f t="shared" si="58"/>
        <v>0</v>
      </c>
      <c r="H135" s="10">
        <v>158000</v>
      </c>
      <c r="I135" s="63">
        <f t="shared" si="59"/>
        <v>158000</v>
      </c>
      <c r="J135" s="10">
        <v>0</v>
      </c>
      <c r="K135" s="63">
        <f t="shared" si="60"/>
        <v>0</v>
      </c>
      <c r="L135" s="10">
        <v>0</v>
      </c>
      <c r="M135" s="63">
        <f t="shared" si="61"/>
        <v>0</v>
      </c>
      <c r="N135" s="10">
        <f t="shared" si="62"/>
        <v>158000</v>
      </c>
      <c r="O135" s="63">
        <f t="shared" si="63"/>
        <v>158000</v>
      </c>
      <c r="P135" s="29"/>
    </row>
    <row r="136" spans="1:16" ht="30" customHeight="1" x14ac:dyDescent="0.3">
      <c r="A136" s="8">
        <v>4</v>
      </c>
      <c r="B136" s="56" t="s">
        <v>112</v>
      </c>
      <c r="C136" s="46" t="s">
        <v>105</v>
      </c>
      <c r="D136" s="47">
        <v>3</v>
      </c>
      <c r="E136" s="9" t="s">
        <v>11</v>
      </c>
      <c r="F136" s="10">
        <v>0</v>
      </c>
      <c r="G136" s="63">
        <f t="shared" si="58"/>
        <v>0</v>
      </c>
      <c r="H136" s="10">
        <v>28000</v>
      </c>
      <c r="I136" s="63">
        <f t="shared" si="59"/>
        <v>84000</v>
      </c>
      <c r="J136" s="10">
        <v>0</v>
      </c>
      <c r="K136" s="63">
        <f t="shared" si="60"/>
        <v>0</v>
      </c>
      <c r="L136" s="10">
        <v>0</v>
      </c>
      <c r="M136" s="63">
        <f t="shared" si="61"/>
        <v>0</v>
      </c>
      <c r="N136" s="10">
        <f t="shared" si="62"/>
        <v>28000</v>
      </c>
      <c r="O136" s="63">
        <f t="shared" si="63"/>
        <v>84000</v>
      </c>
      <c r="P136" s="29"/>
    </row>
    <row r="137" spans="1:16" ht="30" customHeight="1" x14ac:dyDescent="0.3">
      <c r="A137" s="8">
        <v>5</v>
      </c>
      <c r="B137" s="56" t="s">
        <v>113</v>
      </c>
      <c r="C137" s="46" t="s">
        <v>106</v>
      </c>
      <c r="D137" s="47">
        <v>1</v>
      </c>
      <c r="E137" s="9" t="s">
        <v>11</v>
      </c>
      <c r="F137" s="10">
        <v>0</v>
      </c>
      <c r="G137" s="63">
        <f>F137*D137</f>
        <v>0</v>
      </c>
      <c r="H137" s="10">
        <v>81200</v>
      </c>
      <c r="I137" s="63">
        <f>SUM(D137*H137)</f>
        <v>81200</v>
      </c>
      <c r="J137" s="10">
        <v>0</v>
      </c>
      <c r="K137" s="63">
        <f>D137*J137</f>
        <v>0</v>
      </c>
      <c r="L137" s="10">
        <v>0</v>
      </c>
      <c r="M137" s="63">
        <f>D137*L137</f>
        <v>0</v>
      </c>
      <c r="N137" s="10">
        <f t="shared" si="62"/>
        <v>81200</v>
      </c>
      <c r="O137" s="63">
        <f t="shared" si="63"/>
        <v>81200</v>
      </c>
      <c r="P137" s="29"/>
    </row>
    <row r="138" spans="1:16" ht="30" customHeight="1" x14ac:dyDescent="0.3">
      <c r="A138" s="8">
        <v>6</v>
      </c>
      <c r="B138" s="56" t="s">
        <v>114</v>
      </c>
      <c r="C138" s="46" t="s">
        <v>106</v>
      </c>
      <c r="D138" s="47">
        <v>1</v>
      </c>
      <c r="E138" s="9" t="s">
        <v>11</v>
      </c>
      <c r="F138" s="10">
        <v>0</v>
      </c>
      <c r="G138" s="63">
        <f>F138*D138</f>
        <v>0</v>
      </c>
      <c r="H138" s="10">
        <v>33600</v>
      </c>
      <c r="I138" s="63">
        <f>SUM(D138*H138)</f>
        <v>33600</v>
      </c>
      <c r="J138" s="10">
        <v>0</v>
      </c>
      <c r="K138" s="63">
        <f>D138*J138</f>
        <v>0</v>
      </c>
      <c r="L138" s="10">
        <v>0</v>
      </c>
      <c r="M138" s="63">
        <f>D138*L138</f>
        <v>0</v>
      </c>
      <c r="N138" s="10">
        <f t="shared" si="62"/>
        <v>33600</v>
      </c>
      <c r="O138" s="63">
        <f t="shared" si="63"/>
        <v>33600</v>
      </c>
      <c r="P138" s="29"/>
    </row>
    <row r="139" spans="1:16" ht="30" customHeight="1" x14ac:dyDescent="0.3">
      <c r="A139" s="8">
        <v>7</v>
      </c>
      <c r="B139" s="56" t="s">
        <v>115</v>
      </c>
      <c r="C139" s="46" t="s">
        <v>106</v>
      </c>
      <c r="D139" s="47">
        <v>1</v>
      </c>
      <c r="E139" s="9" t="s">
        <v>11</v>
      </c>
      <c r="F139" s="10">
        <v>0</v>
      </c>
      <c r="G139" s="63">
        <f>F139*D139</f>
        <v>0</v>
      </c>
      <c r="H139" s="10">
        <v>33600</v>
      </c>
      <c r="I139" s="63">
        <f>SUM(D139*H139)</f>
        <v>33600</v>
      </c>
      <c r="J139" s="10">
        <v>0</v>
      </c>
      <c r="K139" s="63">
        <f>D139*J139</f>
        <v>0</v>
      </c>
      <c r="L139" s="10">
        <v>0</v>
      </c>
      <c r="M139" s="63">
        <f>D139*L139</f>
        <v>0</v>
      </c>
      <c r="N139" s="10">
        <f t="shared" si="62"/>
        <v>33600</v>
      </c>
      <c r="O139" s="63">
        <f t="shared" si="63"/>
        <v>33600</v>
      </c>
      <c r="P139" s="29"/>
    </row>
    <row r="140" spans="1:16" ht="30" customHeight="1" x14ac:dyDescent="0.3">
      <c r="A140" s="8">
        <v>8</v>
      </c>
      <c r="B140" s="56" t="s">
        <v>116</v>
      </c>
      <c r="C140" s="46" t="s">
        <v>106</v>
      </c>
      <c r="D140" s="47">
        <v>1</v>
      </c>
      <c r="E140" s="9" t="s">
        <v>11</v>
      </c>
      <c r="F140" s="10">
        <v>0</v>
      </c>
      <c r="G140" s="63">
        <f>F140*D140</f>
        <v>0</v>
      </c>
      <c r="H140" s="10">
        <v>34300</v>
      </c>
      <c r="I140" s="63">
        <f>SUM(D140*H140)</f>
        <v>34300</v>
      </c>
      <c r="J140" s="10">
        <v>0</v>
      </c>
      <c r="K140" s="63">
        <f>D140*J140</f>
        <v>0</v>
      </c>
      <c r="L140" s="10">
        <v>0</v>
      </c>
      <c r="M140" s="63">
        <f>D140*L140</f>
        <v>0</v>
      </c>
      <c r="N140" s="10">
        <f t="shared" si="62"/>
        <v>34300</v>
      </c>
      <c r="O140" s="63">
        <f t="shared" si="63"/>
        <v>34300</v>
      </c>
      <c r="P140" s="29"/>
    </row>
    <row r="141" spans="1:16" ht="30" customHeight="1" x14ac:dyDescent="0.3">
      <c r="A141" s="8">
        <v>9</v>
      </c>
      <c r="B141" s="56" t="s">
        <v>117</v>
      </c>
      <c r="C141" s="46" t="s">
        <v>106</v>
      </c>
      <c r="D141" s="47">
        <v>1</v>
      </c>
      <c r="E141" s="9" t="s">
        <v>11</v>
      </c>
      <c r="F141" s="10">
        <v>0</v>
      </c>
      <c r="G141" s="63">
        <f t="shared" si="58"/>
        <v>0</v>
      </c>
      <c r="H141" s="10">
        <v>33600</v>
      </c>
      <c r="I141" s="63">
        <f t="shared" si="59"/>
        <v>33600</v>
      </c>
      <c r="J141" s="10">
        <v>0</v>
      </c>
      <c r="K141" s="63">
        <f t="shared" si="60"/>
        <v>0</v>
      </c>
      <c r="L141" s="10">
        <v>0</v>
      </c>
      <c r="M141" s="63">
        <f t="shared" si="61"/>
        <v>0</v>
      </c>
      <c r="N141" s="10">
        <f t="shared" si="62"/>
        <v>33600</v>
      </c>
      <c r="O141" s="63">
        <f t="shared" si="63"/>
        <v>33600</v>
      </c>
      <c r="P141" s="29"/>
    </row>
    <row r="142" spans="1:16" ht="30" customHeight="1" x14ac:dyDescent="0.3">
      <c r="A142" s="8">
        <v>10</v>
      </c>
      <c r="B142" s="56" t="s">
        <v>91</v>
      </c>
      <c r="C142" s="46" t="s">
        <v>106</v>
      </c>
      <c r="D142" s="47">
        <v>1</v>
      </c>
      <c r="E142" s="9" t="s">
        <v>11</v>
      </c>
      <c r="F142" s="10">
        <v>0</v>
      </c>
      <c r="G142" s="63">
        <f t="shared" ref="G142:G147" si="64">F142*D142</f>
        <v>0</v>
      </c>
      <c r="H142" s="10">
        <v>43400</v>
      </c>
      <c r="I142" s="63">
        <f t="shared" ref="I142:I147" si="65">SUM(D142*H142)</f>
        <v>43400</v>
      </c>
      <c r="J142" s="10">
        <v>0</v>
      </c>
      <c r="K142" s="63">
        <f t="shared" ref="K142:K147" si="66">D142*J142</f>
        <v>0</v>
      </c>
      <c r="L142" s="10">
        <v>0</v>
      </c>
      <c r="M142" s="63">
        <f t="shared" ref="M142:M147" si="67">D142*L142</f>
        <v>0</v>
      </c>
      <c r="N142" s="10">
        <f t="shared" si="62"/>
        <v>43400</v>
      </c>
      <c r="O142" s="63">
        <f t="shared" si="63"/>
        <v>43400</v>
      </c>
      <c r="P142" s="29"/>
    </row>
    <row r="143" spans="1:16" ht="30" customHeight="1" x14ac:dyDescent="0.3">
      <c r="A143" s="8">
        <v>11</v>
      </c>
      <c r="B143" s="56" t="s">
        <v>98</v>
      </c>
      <c r="C143" s="46" t="s">
        <v>107</v>
      </c>
      <c r="D143" s="47">
        <v>1</v>
      </c>
      <c r="E143" s="9" t="s">
        <v>11</v>
      </c>
      <c r="F143" s="10">
        <v>0</v>
      </c>
      <c r="G143" s="63">
        <f t="shared" si="64"/>
        <v>0</v>
      </c>
      <c r="H143" s="10">
        <v>12000</v>
      </c>
      <c r="I143" s="63">
        <f t="shared" si="65"/>
        <v>12000</v>
      </c>
      <c r="J143" s="10">
        <v>0</v>
      </c>
      <c r="K143" s="63">
        <f t="shared" si="66"/>
        <v>0</v>
      </c>
      <c r="L143" s="10">
        <v>0</v>
      </c>
      <c r="M143" s="63">
        <f t="shared" si="67"/>
        <v>0</v>
      </c>
      <c r="N143" s="10">
        <f t="shared" si="62"/>
        <v>12000</v>
      </c>
      <c r="O143" s="63">
        <f t="shared" si="63"/>
        <v>12000</v>
      </c>
      <c r="P143" s="29"/>
    </row>
    <row r="144" spans="1:16" ht="30" customHeight="1" x14ac:dyDescent="0.3">
      <c r="A144" s="8">
        <v>12</v>
      </c>
      <c r="B144" s="56" t="s">
        <v>118</v>
      </c>
      <c r="C144" s="46"/>
      <c r="D144" s="47">
        <v>2</v>
      </c>
      <c r="E144" s="9" t="s">
        <v>11</v>
      </c>
      <c r="F144" s="10">
        <v>0</v>
      </c>
      <c r="G144" s="63">
        <f t="shared" si="64"/>
        <v>0</v>
      </c>
      <c r="H144" s="10">
        <v>29000</v>
      </c>
      <c r="I144" s="63">
        <f t="shared" si="65"/>
        <v>58000</v>
      </c>
      <c r="J144" s="10">
        <v>0</v>
      </c>
      <c r="K144" s="63">
        <f t="shared" si="66"/>
        <v>0</v>
      </c>
      <c r="L144" s="10">
        <v>0</v>
      </c>
      <c r="M144" s="63">
        <f t="shared" si="67"/>
        <v>0</v>
      </c>
      <c r="N144" s="10">
        <f t="shared" si="62"/>
        <v>29000</v>
      </c>
      <c r="O144" s="63">
        <f t="shared" si="63"/>
        <v>58000</v>
      </c>
      <c r="P144" s="29"/>
    </row>
    <row r="145" spans="1:19" ht="30" customHeight="1" x14ac:dyDescent="0.3">
      <c r="A145" s="8">
        <v>13</v>
      </c>
      <c r="B145" s="22" t="s">
        <v>119</v>
      </c>
      <c r="C145" s="8"/>
      <c r="D145" s="47">
        <v>7</v>
      </c>
      <c r="E145" s="9" t="s">
        <v>11</v>
      </c>
      <c r="F145" s="10">
        <v>0</v>
      </c>
      <c r="G145" s="63">
        <f t="shared" si="64"/>
        <v>0</v>
      </c>
      <c r="H145" s="10">
        <v>39000</v>
      </c>
      <c r="I145" s="63">
        <f t="shared" si="65"/>
        <v>273000</v>
      </c>
      <c r="J145" s="10">
        <v>0</v>
      </c>
      <c r="K145" s="63">
        <f t="shared" si="66"/>
        <v>0</v>
      </c>
      <c r="L145" s="10">
        <v>0</v>
      </c>
      <c r="M145" s="63">
        <f t="shared" si="67"/>
        <v>0</v>
      </c>
      <c r="N145" s="10">
        <f t="shared" si="62"/>
        <v>39000</v>
      </c>
      <c r="O145" s="63">
        <f t="shared" si="63"/>
        <v>273000</v>
      </c>
      <c r="P145" s="29"/>
    </row>
    <row r="146" spans="1:19" ht="30" customHeight="1" x14ac:dyDescent="0.3">
      <c r="A146" s="8">
        <v>14</v>
      </c>
      <c r="B146" s="22" t="s">
        <v>120</v>
      </c>
      <c r="C146" s="8" t="s">
        <v>108</v>
      </c>
      <c r="D146" s="47">
        <v>5</v>
      </c>
      <c r="E146" s="9" t="s">
        <v>11</v>
      </c>
      <c r="F146" s="10">
        <v>0</v>
      </c>
      <c r="G146" s="63">
        <f t="shared" si="64"/>
        <v>0</v>
      </c>
      <c r="H146" s="10">
        <v>19400</v>
      </c>
      <c r="I146" s="63">
        <f t="shared" si="65"/>
        <v>97000</v>
      </c>
      <c r="J146" s="10">
        <v>0</v>
      </c>
      <c r="K146" s="63">
        <f t="shared" si="66"/>
        <v>0</v>
      </c>
      <c r="L146" s="10">
        <v>0</v>
      </c>
      <c r="M146" s="63">
        <f t="shared" si="67"/>
        <v>0</v>
      </c>
      <c r="N146" s="10">
        <f t="shared" ref="N146:N147" si="68">H146+J146+L146+F146</f>
        <v>19400</v>
      </c>
      <c r="O146" s="63">
        <f t="shared" ref="O146:O147" si="69">I146+K146+M146+G146</f>
        <v>97000</v>
      </c>
      <c r="P146" s="29"/>
    </row>
    <row r="147" spans="1:19" ht="30" customHeight="1" x14ac:dyDescent="0.3">
      <c r="A147" s="8">
        <v>15</v>
      </c>
      <c r="B147" s="22" t="s">
        <v>121</v>
      </c>
      <c r="C147" s="8"/>
      <c r="D147" s="47">
        <v>2</v>
      </c>
      <c r="E147" s="9" t="s">
        <v>11</v>
      </c>
      <c r="F147" s="10">
        <v>0</v>
      </c>
      <c r="G147" s="63">
        <f t="shared" si="64"/>
        <v>0</v>
      </c>
      <c r="H147" s="10">
        <v>44000</v>
      </c>
      <c r="I147" s="63">
        <f t="shared" si="65"/>
        <v>88000</v>
      </c>
      <c r="J147" s="10">
        <v>0</v>
      </c>
      <c r="K147" s="63">
        <f t="shared" si="66"/>
        <v>0</v>
      </c>
      <c r="L147" s="10">
        <v>0</v>
      </c>
      <c r="M147" s="63">
        <f t="shared" si="67"/>
        <v>0</v>
      </c>
      <c r="N147" s="10">
        <f t="shared" si="68"/>
        <v>44000</v>
      </c>
      <c r="O147" s="63">
        <f t="shared" si="69"/>
        <v>88000</v>
      </c>
      <c r="P147" s="29"/>
    </row>
    <row r="148" spans="1:19" ht="30" customHeight="1" x14ac:dyDescent="0.3">
      <c r="A148" s="8"/>
      <c r="B148" s="22"/>
      <c r="C148" s="8"/>
      <c r="D148" s="47"/>
      <c r="E148" s="9"/>
      <c r="F148" s="10"/>
      <c r="G148" s="63"/>
      <c r="H148" s="10"/>
      <c r="I148" s="63"/>
      <c r="J148" s="10"/>
      <c r="K148" s="63"/>
      <c r="L148" s="10"/>
      <c r="M148" s="63"/>
      <c r="N148" s="10"/>
      <c r="O148" s="63"/>
      <c r="P148" s="29"/>
    </row>
    <row r="149" spans="1:19" ht="30" customHeight="1" x14ac:dyDescent="0.3">
      <c r="A149" s="8"/>
      <c r="B149" s="22"/>
      <c r="C149" s="8"/>
      <c r="D149" s="54"/>
      <c r="E149" s="9"/>
      <c r="F149" s="10"/>
      <c r="G149" s="63"/>
      <c r="H149" s="10"/>
      <c r="I149" s="63"/>
      <c r="J149" s="10"/>
      <c r="K149" s="63"/>
      <c r="L149" s="10"/>
      <c r="M149" s="63"/>
      <c r="N149" s="10"/>
      <c r="O149" s="63"/>
      <c r="P149" s="19"/>
    </row>
    <row r="150" spans="1:19" ht="30" customHeight="1" x14ac:dyDescent="0.3">
      <c r="A150" s="32"/>
      <c r="B150" s="32" t="s">
        <v>8</v>
      </c>
      <c r="C150" s="32"/>
      <c r="D150" s="51"/>
      <c r="E150" s="33"/>
      <c r="F150" s="34"/>
      <c r="G150" s="34">
        <f>SUM(G131:G149)</f>
        <v>0</v>
      </c>
      <c r="H150" s="34"/>
      <c r="I150" s="34">
        <f>SUM(I131:I149)</f>
        <v>2170200</v>
      </c>
      <c r="J150" s="34"/>
      <c r="K150" s="34">
        <f>SUM(K131:K149)</f>
        <v>0</v>
      </c>
      <c r="L150" s="34"/>
      <c r="M150" s="34">
        <f>SUM(M131:M149)</f>
        <v>0</v>
      </c>
      <c r="N150" s="34"/>
      <c r="O150" s="34">
        <f>SUM(O131:O149)</f>
        <v>2170200</v>
      </c>
      <c r="P150" s="33"/>
    </row>
    <row r="151" spans="1:19" ht="30" customHeight="1" x14ac:dyDescent="0.3">
      <c r="A151" s="27"/>
      <c r="B151" s="27"/>
      <c r="C151" s="27"/>
      <c r="D151" s="52"/>
      <c r="E151" s="29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27"/>
    </row>
    <row r="152" spans="1:19" ht="30" customHeight="1" x14ac:dyDescent="0.3">
      <c r="A152" s="27">
        <v>14</v>
      </c>
      <c r="B152" s="28" t="s">
        <v>28</v>
      </c>
      <c r="C152" s="27"/>
      <c r="D152" s="52"/>
      <c r="E152" s="29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27"/>
    </row>
    <row r="153" spans="1:19" ht="30" customHeight="1" x14ac:dyDescent="0.3">
      <c r="A153" s="8">
        <v>1</v>
      </c>
      <c r="B153" s="22" t="s">
        <v>29</v>
      </c>
      <c r="C153" s="8" t="s">
        <v>40</v>
      </c>
      <c r="D153" s="54">
        <v>1</v>
      </c>
      <c r="E153" s="9" t="s">
        <v>10</v>
      </c>
      <c r="F153" s="10">
        <v>0</v>
      </c>
      <c r="G153" s="63">
        <f>F153*D153</f>
        <v>0</v>
      </c>
      <c r="H153" s="10">
        <v>500000</v>
      </c>
      <c r="I153" s="63">
        <f>SUM(D153*H153)</f>
        <v>500000</v>
      </c>
      <c r="J153" s="10">
        <v>0</v>
      </c>
      <c r="K153" s="63">
        <f>D153*J153</f>
        <v>0</v>
      </c>
      <c r="L153" s="10">
        <v>0</v>
      </c>
      <c r="M153" s="63">
        <f>D153*L153</f>
        <v>0</v>
      </c>
      <c r="N153" s="10">
        <f t="shared" ref="N153:O155" si="70">H153+J153+L153+F153</f>
        <v>500000</v>
      </c>
      <c r="O153" s="63">
        <f t="shared" si="70"/>
        <v>500000</v>
      </c>
      <c r="P153" s="30" t="s">
        <v>149</v>
      </c>
    </row>
    <row r="154" spans="1:19" ht="30" customHeight="1" x14ac:dyDescent="0.3">
      <c r="A154" s="8">
        <v>2</v>
      </c>
      <c r="B154" s="22" t="s">
        <v>148</v>
      </c>
      <c r="C154" s="8"/>
      <c r="D154" s="54">
        <v>2</v>
      </c>
      <c r="E154" s="9" t="s">
        <v>139</v>
      </c>
      <c r="F154" s="10">
        <v>0</v>
      </c>
      <c r="G154" s="63">
        <f>F154*D154</f>
        <v>0</v>
      </c>
      <c r="H154" s="10">
        <v>0</v>
      </c>
      <c r="I154" s="63">
        <f>SUM(D154*H154)</f>
        <v>0</v>
      </c>
      <c r="J154" s="10">
        <v>0</v>
      </c>
      <c r="K154" s="63">
        <f>D154*J154</f>
        <v>0</v>
      </c>
      <c r="L154" s="10">
        <v>0</v>
      </c>
      <c r="M154" s="63">
        <f>D154*L154</f>
        <v>0</v>
      </c>
      <c r="N154" s="10">
        <f t="shared" si="70"/>
        <v>0</v>
      </c>
      <c r="O154" s="63">
        <f t="shared" si="70"/>
        <v>0</v>
      </c>
      <c r="P154" s="30" t="s">
        <v>197</v>
      </c>
    </row>
    <row r="155" spans="1:19" ht="30" customHeight="1" x14ac:dyDescent="0.3">
      <c r="A155" s="8">
        <v>3</v>
      </c>
      <c r="B155" s="22" t="s">
        <v>63</v>
      </c>
      <c r="C155" s="8" t="s">
        <v>9</v>
      </c>
      <c r="D155" s="47">
        <v>1</v>
      </c>
      <c r="E155" s="9" t="s">
        <v>13</v>
      </c>
      <c r="F155" s="10">
        <v>0</v>
      </c>
      <c r="G155" s="63">
        <f>F155*D155</f>
        <v>0</v>
      </c>
      <c r="H155" s="10">
        <v>200000</v>
      </c>
      <c r="I155" s="63">
        <f>SUM(D155*H155)</f>
        <v>200000</v>
      </c>
      <c r="J155" s="10">
        <v>0</v>
      </c>
      <c r="K155" s="63">
        <f>D155*J155</f>
        <v>0</v>
      </c>
      <c r="L155" s="10">
        <v>0</v>
      </c>
      <c r="M155" s="63">
        <f>D155*L155</f>
        <v>0</v>
      </c>
      <c r="N155" s="10">
        <f t="shared" si="70"/>
        <v>200000</v>
      </c>
      <c r="O155" s="63">
        <f t="shared" si="70"/>
        <v>200000</v>
      </c>
      <c r="P155" s="19"/>
    </row>
    <row r="156" spans="1:19" ht="30" customHeight="1" x14ac:dyDescent="0.3">
      <c r="A156" s="8"/>
      <c r="B156" s="22"/>
      <c r="C156" s="8"/>
      <c r="D156" s="47"/>
      <c r="E156" s="9"/>
      <c r="F156" s="10"/>
      <c r="G156" s="63"/>
      <c r="H156" s="10"/>
      <c r="I156" s="63"/>
      <c r="J156" s="10"/>
      <c r="K156" s="63"/>
      <c r="L156" s="10"/>
      <c r="M156" s="63"/>
      <c r="N156" s="10"/>
      <c r="O156" s="63"/>
      <c r="P156" s="19"/>
    </row>
    <row r="157" spans="1:19" ht="30" customHeight="1" x14ac:dyDescent="0.3">
      <c r="A157" s="8"/>
      <c r="B157" s="22"/>
      <c r="C157" s="8"/>
      <c r="D157" s="54"/>
      <c r="E157" s="9"/>
      <c r="F157" s="10"/>
      <c r="G157" s="63"/>
      <c r="H157" s="10"/>
      <c r="I157" s="63"/>
      <c r="J157" s="10"/>
      <c r="K157" s="63"/>
      <c r="L157" s="10"/>
      <c r="M157" s="63"/>
      <c r="N157" s="10"/>
      <c r="O157" s="63"/>
      <c r="P157" s="19"/>
    </row>
    <row r="158" spans="1:19" ht="30" customHeight="1" x14ac:dyDescent="0.3">
      <c r="A158" s="32"/>
      <c r="B158" s="32" t="s">
        <v>8</v>
      </c>
      <c r="C158" s="32"/>
      <c r="D158" s="51"/>
      <c r="E158" s="33"/>
      <c r="F158" s="34"/>
      <c r="G158" s="34">
        <f>SUM(G151:G157)</f>
        <v>0</v>
      </c>
      <c r="H158" s="34"/>
      <c r="I158" s="34">
        <f>SUM(I151:I157)</f>
        <v>700000</v>
      </c>
      <c r="J158" s="34"/>
      <c r="K158" s="34">
        <f>SUM(K151:K157)</f>
        <v>0</v>
      </c>
      <c r="L158" s="34"/>
      <c r="M158" s="34">
        <f>SUM(M151:M157)</f>
        <v>0</v>
      </c>
      <c r="N158" s="34"/>
      <c r="O158" s="34">
        <f>SUM(O151:O157)</f>
        <v>700000</v>
      </c>
      <c r="P158" s="33"/>
    </row>
    <row r="159" spans="1:19" ht="30" customHeight="1" x14ac:dyDescent="0.3">
      <c r="A159" s="27"/>
      <c r="B159" s="27"/>
      <c r="C159" s="27"/>
      <c r="D159" s="52"/>
      <c r="E159" s="29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27"/>
      <c r="Q159" s="13"/>
      <c r="R159" s="38"/>
      <c r="S159" s="21"/>
    </row>
    <row r="160" spans="1:19" ht="30" customHeight="1" x14ac:dyDescent="0.3">
      <c r="A160" s="27">
        <v>15</v>
      </c>
      <c r="B160" s="28" t="s">
        <v>66</v>
      </c>
      <c r="C160" s="27"/>
      <c r="D160" s="52"/>
      <c r="E160" s="29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27"/>
      <c r="Q160" s="14"/>
      <c r="R160" s="37"/>
      <c r="S160" s="21"/>
    </row>
    <row r="161" spans="1:19" ht="30" customHeight="1" x14ac:dyDescent="0.3">
      <c r="A161" s="8">
        <v>1</v>
      </c>
      <c r="B161" s="22" t="s">
        <v>64</v>
      </c>
      <c r="C161" s="8" t="s">
        <v>179</v>
      </c>
      <c r="D161" s="54">
        <v>10</v>
      </c>
      <c r="E161" s="9" t="s">
        <v>13</v>
      </c>
      <c r="F161" s="10">
        <v>0</v>
      </c>
      <c r="G161" s="63">
        <f>F161*D161</f>
        <v>0</v>
      </c>
      <c r="H161" s="10">
        <v>12000</v>
      </c>
      <c r="I161" s="63">
        <f>SUM(D161*H161)</f>
        <v>120000</v>
      </c>
      <c r="J161" s="10">
        <v>0</v>
      </c>
      <c r="K161" s="63">
        <f>D161*J161</f>
        <v>0</v>
      </c>
      <c r="L161" s="10">
        <v>0</v>
      </c>
      <c r="M161" s="63">
        <f>D161*L161</f>
        <v>0</v>
      </c>
      <c r="N161" s="10">
        <f t="shared" ref="N161:O165" si="71">H161+J161+L161+F161</f>
        <v>12000</v>
      </c>
      <c r="O161" s="63">
        <f t="shared" si="71"/>
        <v>120000</v>
      </c>
      <c r="P161" s="19" t="s">
        <v>67</v>
      </c>
      <c r="Q161" s="65"/>
      <c r="R161" s="65"/>
      <c r="S161" s="65"/>
    </row>
    <row r="162" spans="1:19" ht="30" customHeight="1" x14ac:dyDescent="0.3">
      <c r="A162" s="8">
        <v>2</v>
      </c>
      <c r="B162" s="22" t="s">
        <v>68</v>
      </c>
      <c r="C162" s="8" t="s">
        <v>69</v>
      </c>
      <c r="D162" s="47">
        <v>2</v>
      </c>
      <c r="E162" s="9" t="s">
        <v>13</v>
      </c>
      <c r="F162" s="10">
        <v>0</v>
      </c>
      <c r="G162" s="63">
        <f>F162*D162</f>
        <v>0</v>
      </c>
      <c r="H162" s="10">
        <v>30000</v>
      </c>
      <c r="I162" s="63">
        <f>SUM(D162*H162)</f>
        <v>60000</v>
      </c>
      <c r="J162" s="10">
        <v>0</v>
      </c>
      <c r="K162" s="63">
        <f>D162*J162</f>
        <v>0</v>
      </c>
      <c r="L162" s="10">
        <v>0</v>
      </c>
      <c r="M162" s="63">
        <f>D162*L162</f>
        <v>0</v>
      </c>
      <c r="N162" s="10">
        <f t="shared" si="71"/>
        <v>30000</v>
      </c>
      <c r="O162" s="63">
        <f t="shared" si="71"/>
        <v>60000</v>
      </c>
      <c r="P162" s="19" t="s">
        <v>67</v>
      </c>
      <c r="Q162" s="65"/>
      <c r="R162" s="65"/>
      <c r="S162" s="65"/>
    </row>
    <row r="163" spans="1:19" ht="30" customHeight="1" x14ac:dyDescent="0.3">
      <c r="A163" s="8">
        <v>3</v>
      </c>
      <c r="B163" s="22" t="s">
        <v>70</v>
      </c>
      <c r="C163" s="8" t="s">
        <v>180</v>
      </c>
      <c r="D163" s="47">
        <v>2</v>
      </c>
      <c r="E163" s="9" t="s">
        <v>13</v>
      </c>
      <c r="F163" s="10">
        <v>0</v>
      </c>
      <c r="G163" s="63">
        <f>F163*D163</f>
        <v>0</v>
      </c>
      <c r="H163" s="10">
        <v>100000</v>
      </c>
      <c r="I163" s="63">
        <f>SUM(D163*H163)</f>
        <v>200000</v>
      </c>
      <c r="J163" s="10">
        <v>0</v>
      </c>
      <c r="K163" s="63">
        <f>D163*J163</f>
        <v>0</v>
      </c>
      <c r="L163" s="10">
        <v>0</v>
      </c>
      <c r="M163" s="63">
        <f>D163*L163</f>
        <v>0</v>
      </c>
      <c r="N163" s="10">
        <f t="shared" si="71"/>
        <v>100000</v>
      </c>
      <c r="O163" s="63">
        <f t="shared" si="71"/>
        <v>200000</v>
      </c>
      <c r="P163" s="19" t="s">
        <v>77</v>
      </c>
      <c r="Q163" s="65"/>
      <c r="R163" s="35"/>
      <c r="S163" s="39"/>
    </row>
    <row r="164" spans="1:19" ht="30" customHeight="1" x14ac:dyDescent="0.3">
      <c r="A164" s="8">
        <v>4</v>
      </c>
      <c r="B164" s="22" t="s">
        <v>71</v>
      </c>
      <c r="C164" s="8" t="s">
        <v>72</v>
      </c>
      <c r="D164" s="47">
        <v>2</v>
      </c>
      <c r="E164" s="9" t="s">
        <v>13</v>
      </c>
      <c r="F164" s="10">
        <v>0</v>
      </c>
      <c r="G164" s="63">
        <f>F164*D164</f>
        <v>0</v>
      </c>
      <c r="H164" s="10">
        <v>100000</v>
      </c>
      <c r="I164" s="63">
        <f>SUM(D164*H164)</f>
        <v>200000</v>
      </c>
      <c r="J164" s="10">
        <v>0</v>
      </c>
      <c r="K164" s="63">
        <f>D164*J164</f>
        <v>0</v>
      </c>
      <c r="L164" s="10">
        <v>0</v>
      </c>
      <c r="M164" s="63">
        <f>D164*L164</f>
        <v>0</v>
      </c>
      <c r="N164" s="10">
        <f t="shared" si="71"/>
        <v>100000</v>
      </c>
      <c r="O164" s="63">
        <f t="shared" si="71"/>
        <v>200000</v>
      </c>
      <c r="P164" s="19" t="s">
        <v>181</v>
      </c>
      <c r="Q164" s="65"/>
      <c r="R164" s="35"/>
      <c r="S164" s="39"/>
    </row>
    <row r="165" spans="1:19" ht="30" customHeight="1" x14ac:dyDescent="0.3">
      <c r="A165" s="8">
        <v>5</v>
      </c>
      <c r="B165" s="22" t="s">
        <v>75</v>
      </c>
      <c r="C165" s="8" t="s">
        <v>9</v>
      </c>
      <c r="D165" s="47">
        <v>20</v>
      </c>
      <c r="E165" s="9" t="s">
        <v>178</v>
      </c>
      <c r="F165" s="10">
        <v>0</v>
      </c>
      <c r="G165" s="63">
        <f>F165*D165</f>
        <v>0</v>
      </c>
      <c r="H165" s="10">
        <v>15000</v>
      </c>
      <c r="I165" s="63">
        <f>SUM(D165*H165)</f>
        <v>300000</v>
      </c>
      <c r="J165" s="10">
        <v>0</v>
      </c>
      <c r="K165" s="63">
        <f>D165*J165</f>
        <v>0</v>
      </c>
      <c r="L165" s="10">
        <v>0</v>
      </c>
      <c r="M165" s="63">
        <f>D165*L165</f>
        <v>0</v>
      </c>
      <c r="N165" s="10">
        <f t="shared" si="71"/>
        <v>15000</v>
      </c>
      <c r="O165" s="63">
        <f t="shared" si="71"/>
        <v>300000</v>
      </c>
      <c r="P165" s="19" t="s">
        <v>77</v>
      </c>
      <c r="Q165" s="12"/>
      <c r="R165" s="35"/>
      <c r="S165" s="39"/>
    </row>
    <row r="166" spans="1:19" ht="29.25" customHeight="1" x14ac:dyDescent="0.3">
      <c r="A166" s="8"/>
      <c r="B166" s="22"/>
      <c r="C166" s="8"/>
      <c r="D166" s="54"/>
      <c r="E166" s="9"/>
      <c r="F166" s="10"/>
      <c r="G166" s="63"/>
      <c r="H166" s="10"/>
      <c r="I166" s="63"/>
      <c r="J166" s="10"/>
      <c r="K166" s="63"/>
      <c r="L166" s="10"/>
      <c r="M166" s="63"/>
      <c r="N166" s="10"/>
      <c r="O166" s="63"/>
      <c r="P166" s="19"/>
      <c r="Q166" s="12"/>
      <c r="R166" s="35"/>
      <c r="S166" s="39"/>
    </row>
    <row r="167" spans="1:19" ht="30" customHeight="1" x14ac:dyDescent="0.3">
      <c r="A167" s="32"/>
      <c r="B167" s="32" t="s">
        <v>8</v>
      </c>
      <c r="C167" s="32"/>
      <c r="D167" s="51"/>
      <c r="E167" s="33"/>
      <c r="F167" s="34"/>
      <c r="G167" s="34">
        <f>SUM(G159:G166)</f>
        <v>0</v>
      </c>
      <c r="H167" s="34"/>
      <c r="I167" s="34">
        <f>SUM(I159:I166)</f>
        <v>880000</v>
      </c>
      <c r="J167" s="34"/>
      <c r="K167" s="34">
        <f>SUM(K159:K166)</f>
        <v>0</v>
      </c>
      <c r="L167" s="34"/>
      <c r="M167" s="34">
        <f>SUM(M159:M166)</f>
        <v>0</v>
      </c>
      <c r="N167" s="34"/>
      <c r="O167" s="34">
        <f>SUM(O159:O166)</f>
        <v>880000</v>
      </c>
      <c r="P167" s="33"/>
      <c r="Q167" s="16"/>
      <c r="R167" s="36">
        <f>SUM(R159:R160)</f>
        <v>0</v>
      </c>
      <c r="S167" s="43"/>
    </row>
  </sheetData>
  <mergeCells count="12">
    <mergeCell ref="R4:S4"/>
    <mergeCell ref="H1:I1"/>
    <mergeCell ref="J1:K1"/>
    <mergeCell ref="L1:M1"/>
    <mergeCell ref="N1:O1"/>
    <mergeCell ref="P1:P2"/>
    <mergeCell ref="F1:G1"/>
    <mergeCell ref="A1:A2"/>
    <mergeCell ref="B1:B2"/>
    <mergeCell ref="C1:C2"/>
    <mergeCell ref="E1:E2"/>
    <mergeCell ref="D1:D2"/>
  </mergeCells>
  <phoneticPr fontId="2" type="noConversion"/>
  <printOptions horizontalCentered="1"/>
  <pageMargins left="0.39370078740157483" right="0.39370078740157483" top="0.6692913385826772" bottom="0.6692913385826772" header="0.31496062992125984" footer="0.31496062992125984"/>
  <pageSetup paperSize="9" scale="61" fitToHeight="0" orientation="landscape" r:id="rId1"/>
  <headerFooter alignWithMargins="0">
    <oddHeader>&amp;C&amp;"-,굵게"&amp;14공 사 상 세 내 역</oddHeader>
    <oddFooter>&amp;L&amp;10&amp;D&amp;C&amp;10&amp;P/&amp;N&amp;R&amp;10(주)오랜컴퍼니</oddFooter>
  </headerFooter>
  <rowBreaks count="6" manualBreakCount="6">
    <brk id="29" max="15" man="1"/>
    <brk id="54" max="15" man="1"/>
    <brk id="81" max="15" man="1"/>
    <brk id="103" max="15" man="1"/>
    <brk id="130" max="15" man="1"/>
    <brk id="150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세부내역</vt:lpstr>
      <vt:lpstr>세부내역!Print_Area</vt:lpstr>
      <vt:lpstr>세부내역!Print_Titles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oraen V</dc:creator>
  <cp:lastModifiedBy>조영제</cp:lastModifiedBy>
  <cp:lastPrinted>2025-10-17T12:12:39Z</cp:lastPrinted>
  <dcterms:created xsi:type="dcterms:W3CDTF">2020-06-02T03:17:13Z</dcterms:created>
  <dcterms:modified xsi:type="dcterms:W3CDTF">2026-09-29T10:18:45Z</dcterms:modified>
</cp:coreProperties>
</file>